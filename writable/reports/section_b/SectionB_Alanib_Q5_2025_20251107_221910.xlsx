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_b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<sst xmlns="http://schemas.openxmlformats.org/spreadsheetml/2006/main" uniqueCount="798">
  <si>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</si>
  <si>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</si>
  <si>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</si>
  <si>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</si>
  <si>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</si>
  <si>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</si>
  <si>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</si>
  <si>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</si>
  <si>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</si>
  <si>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</si>
  <si>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</si>
  <si>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</si>
  <si>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</si>
  <si>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</si>
  <si>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</si>
  <si>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</si>
  <si>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</si>
  <si>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</si>
  <si>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</si>
  <si>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</si>
  <si>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</si>
  <si>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</si>
  <si>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</si>
  <si>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</si>
  <si>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</si>
  <si>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</si>
  <si>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</si>
  <si>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</si>
  <si>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</si>
  <si>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</si>
  <si>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</si>
  <si>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</si>
  <si>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</si>
  <si>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</si>
  <si>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</si>
  <si>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</si>
  <si>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</si>
  <si>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</si>
  <si>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</si>
  <si>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</si>
  <si>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</si>
  <si>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</si>
  <si>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</si>
  <si>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</si>
  <si>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</si>
  <si>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</si>
  <si>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</si>
  <si>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</si>
  <si>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</si>
  <si>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</si>
  <si>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</si>
  <si>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</si>
  <si>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</si>
  <si>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</si>
  <si>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</si>
  <si>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</si>
  <si>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</si>
  <si>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</si>
  <si>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</si>
  <si>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</si>
  <si>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</si>
  <si>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</si>
  <si>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</si>
  <si>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</si>
  <si>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</si>
  <si>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</si>
  <si>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</si>
  <si>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</si>
  <si>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</si>
  <si>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</si>
  <si>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</si>
  <si>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</si>
  <si>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</si>
  <si>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</si>
  <si>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</si>
  <si>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</si>
  <si>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</si>
  <si>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</si>
  <si>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</si>
  <si>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</si>
  <si>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</si>
  <si>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</si>
  <si>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</si>
  <si>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</si>
  <si>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</si>
  <si>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</si>
  <si>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</si>
  <si>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</si>
  <si>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</si>
  <si>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</si>
  <si>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</si>
  <si>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</si>
  <si>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</si>
  <si>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</si>
  <si>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</si>
  <si>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</si>
  <si>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</si>
  <si>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</si>
  <si>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</si>
  <si>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</si>
  <si>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</si>
  <si>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</si>
  <si>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</si>
  <si>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</si>
  <si>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</si>
  <si>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</si>
  <si>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</si>
  <si>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</si>
  <si>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</si>
  <si>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</si>
  <si>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</si>
  <si>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</si>
  <si>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</si>
  <si>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</si>
  <si>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</si>
  <si>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</si>
  <si>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</si>
  <si>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</si>
  <si>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</si>
  <si>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</si>
  <si>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</si>
  <si>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</si>
  <si>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</si>
  <si>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</si>
  <si>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</si>
  <si>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</si>
  <si>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</si>
  <si>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</si>
  <si>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</si>
  <si>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</si>
  <si>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</si>
  <si>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</si>
  <si>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</si>
  <si>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</si>
  <si>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</si>
  <si>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</si>
  <si>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</si>
  <si>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</si>
  <si>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</si>
  <si>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</si>
  <si>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</si>
  <si>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</si>
  <si>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</si>
  <si>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</si>
  <si>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</si>
  <si>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</si>
  <si>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</si>
  <si>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</si>
  <si>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</si>
  <si>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</si>
  <si>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</si>
  <si>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</si>
  <si>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</si>
  <si>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</si>
  <si>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</si>
  <si>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</si>
  <si>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</si>
  <si>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</si>
  <si>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</si>
  <si>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</si>
  <si>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</si>
  <si>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</si>
  <si>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</si>
  <si>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</si>
  <si>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</si>
  <si>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</si>
  <si>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</si>
  <si>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</si>
  <si>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</si>
  <si>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</si>
  <si>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</si>
  <si>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</si>
  <si>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</si>
  <si>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</si>
  <si>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</si>
  <si>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</si>
  <si>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</si>
  <si>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</si>
  <si>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</si>
  <si>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</si>
  <si>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</si>
  <si>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</si>
  <si>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</si>
  <si>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</si>
  <si>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</si>
  <si>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</si>
  <si>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</si>
  <si>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</si>
  <si>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</si>
  <si>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</si>
  <si>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</si>
  <si>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</si>
  <si>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</si>
  <si>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</si>
  <si>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</si>
  <si>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</si>
  <si>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</si>
  <si>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</si>
  <si>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</si>
  <si>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</si>
  <si>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</si>
  <si>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</si>
  <si>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</si>
  <si>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</si>
  <si>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</si>
  <si>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</si>
  <si>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</si>
  <si>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</si>
  <si>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</si>
  <si>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</si>
  <si>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</si>
  <si>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</si>
  <si>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</si>
  <si>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</si>
  <si>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</si>
  <si>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</si>
  <si>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</si>
  <si>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</si>
  <si>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</si>
  <si>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</si>
  <si>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</si>
  <si>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</si>
  <si>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</si>
  <si>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</si>
  <si>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</si>
  <si>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</si>
  <si>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</si>
  <si>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</si>
  <si>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</si>
  <si>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</si>
  <si>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</si>
  <si>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</si>
  <si>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</si>
  <si>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</si>
  <si>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</si>
  <si>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</si>
  <si>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</si>
  <si>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</si>
  <si>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</si>
  <si>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</si>
  <si>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</si>
  <si>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</si>
  <si>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</si>
  <si>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</si>
  <si>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</si>
  <si>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</si>
  <si>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</si>
  <si>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</si>
  <si>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</si>
  <si>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</si>
  <si>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</si>
  <si>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</si>
  <si>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</si>
  <si>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</si>
  <si>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</si>
  <si>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</si>
  <si>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</si>
  <si>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</si>
  <si>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</si>
  <si>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</si>
  <si>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</si>
  <si>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</si>
  <si>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</si>
  <si>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</si>
  <si>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</si>
  <si>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</si>
  <si>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</si>
  <si>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</si>
  <si>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</si>
  <si>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</si>
  <si>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</si>
  <si>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</si>
  <si>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</si>
  <si>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</si>
  <si>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</si>
  <si>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</si>
  <si>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</si>
  <si>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</si>
  <si>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</si>
  <si>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</si>
  <si>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</si>
  <si>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</si>
  <si>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</si>
  <si>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</si>
  <si>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</si>
  <si>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</si>
  <si>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</si>
  <si>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</si>
  <si>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</si>
  <si>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</si>
  <si>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</si>
  <si>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</si>
  <si>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</si>
  <si>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</si>
  <si>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</si>
  <si>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</si>
  <si>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</si>
  <si>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</si>
  <si>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</si>
  <si>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</si>
  <si>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</si>
  <si>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</si>
  <si>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</si>
  <si>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</si>
  <si>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</si>
  <si>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</si>
  <si>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</si>
  <si>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</si>
  <si>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</si>
  <si>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</si>
  <si>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</si>
  <si>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</si>
  <si>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</si>
  <si>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</si>
  <si>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</si>
  <si>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</si>
  <si>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</si>
  <si>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</si>
  <si>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</si>
  <si>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</si>
  <si>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</si>
  <si>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</si>
  <si>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</si>
  <si>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</si>
  <si>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</si>
  <si>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</si>
  <si>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</si>
  <si>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</si>
  <si>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</si>
  <si>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</si>
  <si>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</si>
  <si>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</si>
  <si>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</si>
  <si>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</si>
  <si>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</si>
  <si>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</si>
  <si>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</si>
  <si>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</si>
  <si>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</si>
  <si>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</si>
  <si>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</si>
  <si>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</si>
  <si>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</si>
  <si>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</si>
  <si>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</si>
  <si>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</si>
  <si>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</si>
  <si>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</si>
  <si>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</si>
  <si>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</si>
  <si>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</si>
  <si>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</si>
  <si>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</si>
  <si>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</si>
  <si>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</si>
  <si>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</si>
  <si>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</si>
  <si>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</si>
  <si>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</si>
  <si>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</si>
  <si>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</si>
  <si>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</si>
  <si>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</si>
  <si>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</si>
  <si>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</si>
  <si>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</si>
  <si>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</si>
  <si>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</si>
  <si>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</si>
  <si>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</si>
  <si>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</si>
  <si>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</si>
  <si>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</si>
  <si>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</si>
  <si>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</si>
  <si>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</si>
  <si>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</si>
  <si>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</si>
  <si>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</si>
  <si>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</si>
  <si>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</si>
  <si>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</si>
  <si>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</si>
  <si>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</si>
  <si>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</si>
  <si>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</si>
  <si>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</si>
  <si>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</si>
  <si>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</si>
  <si>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</si>
  <si>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</si>
  <si>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</si>
  <si>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</si>
  <si>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</si>
  <si>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</si>
  <si>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</si>
  <si>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</si>
  <si>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</si>
  <si>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</si>
  <si>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</si>
  <si>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</si>
  <si>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</si>
  <si>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</si>
  <si>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</si>
  <si>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</si>
  <si>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</si>
  <si>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</si>
  <si>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</si>
  <si>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</si>
  <si>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</si>
  <si>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</si>
  <si>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</si>
  <si>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</si>
  <si>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</si>
  <si>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</si>
  <si>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</si>
  <si>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</si>
  <si>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</si>
  <si>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</si>
  <si>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</si>
  <si>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</si>
  <si>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</si>
  <si>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</si>
  <si>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</si>
  <si>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</si>
  <si>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</si>
  <si>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</si>
  <si>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</si>
  <si>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</si>
  <si>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</si>
  <si>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</si>
  <si>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</si>
  <si>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</si>
  <si>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</si>
  <si>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</si>
  <si>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</si>
  <si>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</si>
  <si>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</si>
  <si>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</si>
  <si>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</si>
  <si>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</si>
  <si>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</si>
  <si>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</si>
  <si>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</si>
  <si>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</si>
  <si>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</si>
  <si>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</si>
  <si>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</si>
  <si>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</si>
  <si>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</si>
  <si>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</si>
  <si>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</si>
  <si>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</si>
  <si>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</si>
  <si>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</si>
  <si>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</si>
  <si>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</si>
  <si>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</si>
  <si>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</si>
  <si>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</si>
  <si>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</si>
  <si>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</si>
  <si>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</si>
  <si>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</si>
  <si>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</si>
  <si>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</si>
  <si>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</si>
  <si>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</si>
  <si>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</si>
  <si>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</si>
  <si>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</si>
  <si>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</si>
  <si>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</si>
  <si>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</si>
  <si>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</si>
  <si>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</si>
  <si>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</si>
  <si>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</si>
  <si>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</si>
  <si>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</si>
  <si>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</si>
  <si>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</si>
  <si>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</si>
  <si>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</si>
  <si>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</si>
  <si>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</si>
  <si>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</si>
  <si>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</si>
  <si>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</si>
  <si>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</si>
  <si>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</si>
  <si>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</si>
  <si>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</si>
  <si>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</si>
  <si>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</si>
  <si>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</si>
  <si>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</si>
  <si>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</si>
  <si>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</si>
  <si>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</si>
  <si>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</si>
  <si>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</si>
  <si>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</si>
  <si>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</si>
  <si>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</si>
  <si>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</si>
  <si>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</si>
  <si>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</si>
  <si>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</si>
  <si>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</si>
  <si>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</si>
  <si>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</si>
  <si>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</si>
  <si>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</si>
  <si>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</si>
  <si>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</si>
  <si>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</si>
  <si>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</si>
  <si>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</si>
  <si>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</si>
  <si>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</si>
  <si>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</si>
  <si>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</si>
  <si>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</si>
  <si>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</si>
  <si>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</si>
  <si>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</si>
  <si>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</si>
  <si>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</si>
  <si>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</si>
  <si>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</si>
  <si>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</si>
  <si>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</si>
  <si>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</si>
  <si>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</si>
  <si>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</si>
  <si>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</si>
  <si>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</si>
  <si>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</si>
  <si>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</si>
  <si>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</si>
  <si>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</si>
  <si>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</si>
  <si>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</si>
  <si>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</si>
  <si>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</si>
  <si>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</si>
  <si>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</si>
  <si>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</si>
  <si>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</si>
  <si>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</si>
  <si>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</si>
  <si>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</si>
  <si>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</si>
  <si>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</si>
  <si>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</si>
  <si>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</si>
  <si>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</si>
  <si>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</si>
  <si>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</si>
  <si>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</si>
  <si>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</si>
  <si>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</si>
  <si>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</si>
  <si>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</si>
  <si>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</si>
  <si>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</si>
  <si>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</si>
  <si>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</si>
  <si>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</si>
  <si>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</si>
  <si>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</si>
  <si>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</si>
  <si>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</si>
  <si>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</si>
  <si>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</si>
  <si>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</si>
  <si>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</si>
  <si>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</si>
  <si>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</si>
  <si>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</si>
  <si>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</si>
  <si>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</si>
  <si>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</si>
  <si>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</si>
  <si>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</si>
  <si>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</si>
  <si>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</si>
  <si>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</si>
  <si>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</si>
  <si>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</si>
  <si>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</si>
  <si>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</si>
  <si>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</si>
  <si>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</si>
  <si>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</si>
  <si>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</si>
  <si>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</si>
  <si>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</si>
  <si>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</si>
  <si>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</si>
  <si>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</si>
  <si>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</si>
  <si>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</si>
  <si>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</si>
  <si>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</si>
  <si>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</si>
  <si>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</si>
  <si>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</si>
  <si>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</si>
  <si>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</si>
  <si>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</si>
  <si>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</si>
  <si>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</si>
  <si>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</si>
  <si>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</si>
  <si>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</si>
  <si>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</si>
  <si>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</si>
  <si>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</si>
  <si>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</si>
  <si>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</si>
  <si>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</si>
  <si>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</si>
  <si>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</si>
  <si>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</si>
  <si>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</si>
  <si>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</si>
  <si>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</si>
  <si>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</si>
  <si>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</si>
  <si>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</si>
  <si>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</si>
  <si>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</si>
  <si>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</si>
  <si>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</si>
  <si>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</si>
  <si>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</si>
  <si>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</si>
  <si>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</si>
  <si>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</si>
  <si>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</si>
  <si>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</si>
  <si>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</si>
  <si>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</si>
  <si>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</si>
  <si>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</si>
  <si>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</si>
  <si>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</si>
  <si>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</si>
  <si>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</si>
  <si>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</si>
  <si>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</si>
  <si>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</si>
  <si>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</si>
  <si>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</si>
  <si>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</si>
  <si>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</si>
  <si>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</si>
  <si>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</si>
  <si>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</si>
  <si>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</si>
  <si>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</si>
  <si>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</si>
  <si>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</si>
  <si>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</si>
  <si>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</si>
  <si>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</si>
  <si>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</si>
  <si>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</si>
  <si>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</si>
  <si>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</si>
  <si>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</si>
  <si>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</si>
  <si>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</si>
  <si>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</si>
  <si>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</si>
  <si>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</si>
  <si>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</si>
  <si>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</si>
  <si>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</si>
  <si>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</si>
  <si>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</si>
  <si>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</si>
  <si>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</si>
  <si>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</si>
  <si>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</si>
  <si>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</si>
  <si>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</si>
  <si>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</si>
  <si>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</si>
  <si>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</si>
  <si>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</si>
  <si>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</si>
  <si>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</si>
  <si>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</si>
  <si>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</si>
  <si>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</si>
  <si>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</si>
  <si>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</si>
  <si>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</si>
  <si>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</si>
  <si>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</si>
  <si>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</si>
  <si>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</si>
  <si>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</si>
  <si>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</si>
  <si>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</si>
  <si>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</si>
  <si>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</si>
  <si>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</si>
  <si>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</si>
  <si>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</si>
  <si>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</si>
  <si>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</si>
  <si>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</si>
  <si>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</si>
  <si>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</si>
  <si>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</si>
  <si>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</si>
  <si>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</si>
  <si>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</si>
  <si>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</si>
  <si>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</si>
  <si>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RHU</t>
  </si>
  <si>
    <t>FHSIS REPORT for the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</si>
  <si>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</si>
  <si>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</si>
  <si>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</si>
  <si>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</si>
  <si>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</si>
  <si>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B. MATERNAL CARE AND SERVICES</t>
  </si>
  <si>
    <t>Indicators</t>
  </si>
  <si>
    <t>Age Group</t>
  </si>
  <si>
    <t>TOTAL</t>
  </si>
  <si>
    <t>Remarks</t>
  </si>
  <si>
    <t>10-14</t>
  </si>
  <si>
    <t>15-19</t>
  </si>
  <si>
    <t>20-49</t>
  </si>
  <si>
    <t>PRENATAL CARE SERVICES</t>
  </si>
  <si>
    <t>1a. Women who gave birth with at least 4 prenatal check-ups (for Q1 to Q3 2025 only)</t>
  </si>
  <si>
    <t>3b. Number of Pregnant Women for the 2nd or more times given at least 3 doses of Td vaccination (Td2 Plus)</t>
  </si>
  <si>
    <r>
      <t xml:space="preserve">1b. Total No. of Women who delivered and completed at least 8ANC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</si>
  <si>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4. Number of pregnant women who completed the dose of iron with folic acid supplementation</t>
  </si>
  <si>
    <t>a. No. of Women who delivered and Provided 1st to 8th ANC on schedule</t>
  </si>
  <si>
    <t>5. No. of pregnant women who completed the dose Multiple Micronutrient Supplementation</t>
  </si>
  <si>
    <t>b. No. of Women who delivered and completed at least 8ANC
TRANS IN from other LGUs</t>
  </si>
  <si>
    <t>6. No. of high-risk pregnant women who completed the dose of calcium carbonate</t>
  </si>
  <si>
    <r>
      <t xml:space="preserve">1c. Total No. of Women who delivered and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</si>
  <si>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7. No. of pregnant women given one dose of deworming tablet</t>
  </si>
  <si>
    <t>a. No. of Women who delivered and who were tracked during pregnancy</t>
  </si>
  <si>
    <t>8a. No of pregnant women screened for Hepatitis B</t>
  </si>
  <si>
    <r>
      <t xml:space="preserve">b. No. of </t>
    </r>
    <r>
      <rPr>
        <rFont val="Arial"/>
        <b val="true"/>
        <i val="false"/>
        <strike val="false"/>
        <color rgb="FF000000"/>
        <sz val="9"/>
        <u val="none"/>
      </rPr>
      <t xml:space="preserve">TRANS IN </t>
    </r>
    <r>
      <rPr>
        <rFont val="Arial"/>
        <b val="false"/>
        <i val="false"/>
        <strike val="false"/>
        <color rgb="FF000000"/>
        <sz val="9"/>
        <u val="none"/>
      </rPr>
      <t xml:space="preserve">from other LGUs</t>
    </r>
  </si>
  <si>
    <t>8b. No of pregnant women screened reactive for Hepatitis B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</si>
  <si>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8ANC</t>
    </r>
  </si>
  <si>
    <t>8b. No of pregnant women screened for anemia</t>
  </si>
  <si>
    <t>2a. Number of pregnant women seen in the first trimester who have normal BMI</t>
  </si>
  <si>
    <t>9b. No of pregnant women diagnosed with Anemia</t>
  </si>
  <si>
    <t>2b. Number of pregnant women seen in the first trimester who have Low BMI</t>
  </si>
  <si>
    <t>10a. No of pregnant women screened for Gestational Diabetes Melitus</t>
  </si>
  <si>
    <t>2c. Number of pregnant women seen in the first trimester who have High BMI</t>
  </si>
  <si>
    <t>10b. No of pregnant women tested positive for Gestational Diabetes Melitus</t>
  </si>
  <si>
    <t>2d. Total Pregnant Registered in the month</t>
  </si>
  <si>
    <t>3a. Number of women pregnant for the first time given at least 2 doses of Tetanus diphtheria (Td) vaccination</t>
  </si>
  <si>
    <t>INTRAPARTUM AND NEWBORN CARE</t>
  </si>
  <si>
    <t>1. Total Deliveries</t>
  </si>
  <si>
    <t>4. No. of facility based deliveries (FBD)</t>
  </si>
  <si>
    <t>2. No. of Livebirths</t>
  </si>
  <si>
    <t>a. Public facility</t>
  </si>
  <si>
    <t>a. Normal birth weight</t>
  </si>
  <si>
    <t>b. Private facility</t>
  </si>
  <si>
    <t>b. Low birth weight</t>
  </si>
  <si>
    <t>5a. No. of  Vaginal deliveires</t>
  </si>
  <si>
    <t>c. Unknown birth weight</t>
  </si>
  <si>
    <t>5b.  No. of Cesarean section</t>
  </si>
  <si>
    <t>3. No. of deliveries attended by skilled health professionals</t>
  </si>
  <si>
    <t>5c.  No. of Combined Vaginal-Cesarean Delivery</t>
  </si>
  <si>
    <t>6a. No. of Full-Term deliveries</t>
  </si>
  <si>
    <t>a. Physicians</t>
  </si>
  <si>
    <t>6b. No. of Pre-Term Deliveries</t>
  </si>
  <si>
    <t>b. Nurses</t>
  </si>
  <si>
    <t>6c. No. of Fetal deaths</t>
  </si>
  <si>
    <t>c. Midwives</t>
  </si>
  <si>
    <t>6d. No. of  abortion/miscarriage</t>
  </si>
  <si>
    <t>POSTPARTUM CARE</t>
  </si>
  <si>
    <t>1a. Number and proportion of Postpartum women together with their newborn who completed at least 2PNC (for Q1 Jan to Feb 2025 only)</t>
  </si>
  <si>
    <t>2. Number of postpartum women who completed the dose of iron with folic acid supplementation</t>
  </si>
  <si>
    <r>
      <t xml:space="preserve">1b. Total No. of women who delivered and completed at least 4PNC </t>
    </r>
    <r>
      <rPr>
        <rFont val="Arial"/>
        <b val="true"/>
        <i val="false"/>
        <strike val="false"/>
        <color rgb="FF000000"/>
        <sz val="9"/>
        <u val="none"/>
      </rPr>
      <t xml:space="preserve">=(a+b)</t>
    </r>
  </si>
  <si>
    <t>3. Number of postpartum women who completed the dose ofVitamin A supplementation</t>
  </si>
  <si>
    <t>a. No. of women who delivered and Provided 1st to 4th PNC on schedule</t>
  </si>
  <si>
    <t>b. No. of women who delivered and completed at least 4PNC
TRANS IN from other LGUs</t>
  </si>
  <si>
    <r>
      <t xml:space="preserve">1c. Total No. of women who delivered and who were tracked during pregnancy</t>
    </r>
    <r>
      <rPr>
        <rFont val="Arial"/>
        <b val="true"/>
        <i val="false"/>
        <strike val="false"/>
        <color rgb="FF000000"/>
        <sz val="9"/>
        <u val="none"/>
      </rPr>
      <t xml:space="preserve"> =(a+b)-c</t>
    </r>
  </si>
  <si>
    <t>a. No. of women who delivered and who were tracked during pregnancy (New)</t>
  </si>
  <si>
    <r>
      <t xml:space="preserve">c. No. of </t>
    </r>
    <r>
      <rPr>
        <rFont val="Arial"/>
        <b val="true"/>
        <i val="false"/>
        <strike val="false"/>
        <color rgb="FF000000"/>
        <sz val="9"/>
        <u val="none"/>
      </rPr>
      <t xml:space="preserve">TRANS OUT</t>
    </r>
    <r>
      <rPr>
        <rFont val="Arial"/>
        <b val="false"/>
        <i val="false"/>
        <strike val="false"/>
        <color rgb="FF000000"/>
        <sz val="9"/>
        <u val="none"/>
      </rPr>
      <t xml:space="preserve"> (with MOV) before completing 4PNC</t>
    </r>
  </si>
  <si>
    <r>
      <t xml:space="preserve">PREPARED BY: </t>
    </r>
    <r>
      <rPr>
        <rFont val="Arial"/>
        <b val="true"/>
        <i val="false"/>
        <strike val="false"/>
        <color rgb="FF000000"/>
        <sz val="12"/>
        <u val="single"/>
      </rPr>
      <t xml:space="preserve">FLUORENCE RARA-GOMONAN</t>
    </r>
  </si>
  <si>
    <t xml:space="preserve">                                                NURSE-II</t>
  </si>
  <si>
    <r>
      <t xml:space="preserve">NOTED BY: </t>
    </r>
    <r>
      <rPr>
        <rFont val="Arial"/>
        <b val="true"/>
        <i val="false"/>
        <strike val="false"/>
        <color rgb="FF000000"/>
        <sz val="12"/>
        <u val="single"/>
      </rPr>
      <t xml:space="preserve">DRA. JOSEFA ARLITA L. ALSULA</t>
    </r>
  </si>
  <si>
    <t xml:space="preserve">                        MUNICIPAL HEALTH OFFICER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</si>
</sst>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</font>
    <font>
      <b val="0"/>
      <i val="1"/>
      <strike val="0"/>
      <u val="none"/>
      <sz val="10"/>
      <color theme="1"/>
      <name val="Arial"/>
      <scheme val="minor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</fills>
  <borders count="2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3" numFmtId="0" fillId="3" borderId="3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2" borderId="6" applyFont="1" applyNumberFormat="0" applyFill="1" applyBorder="1" applyAlignment="1">
      <alignment vertical="center" textRotation="0" wrapText="false" shrinkToFit="false"/>
    </xf>
    <xf xfId="0" fontId="3" numFmtId="0" fillId="2" borderId="7" applyFont="1" applyNumberFormat="0" applyFill="1" applyBorder="1" applyAlignment="1">
      <alignment vertical="center" textRotation="0" wrapText="false" shrinkToFit="false"/>
    </xf>
    <xf xfId="0" fontId="3" numFmtId="0" fillId="2" borderId="8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9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true" shrinkToFit="false"/>
    </xf>
    <xf xfId="0" fontId="19" numFmtId="0" fillId="3" borderId="2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10" applyFont="1" applyNumberFormat="0" applyFill="0" applyBorder="1" applyAlignment="0"/>
    <xf xfId="0" fontId="20" numFmtId="0" fillId="0" borderId="11" applyFont="1" applyNumberFormat="0" applyFill="0" applyBorder="1" applyAlignment="0"/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19" numFmtId="0" fillId="3" borderId="12" applyFont="1" applyNumberFormat="0" applyFill="1" applyBorder="1" applyAlignment="1">
      <alignment horizontal="center" vertical="center" textRotation="0" wrapText="false" shrinkToFit="false"/>
    </xf>
    <xf xfId="0" fontId="21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0" applyFont="1" applyNumberFormat="0" applyFill="0" applyBorder="1" applyAlignment="1">
      <alignment vertical="center" textRotation="0" wrapText="false" shrinkToFit="false"/>
    </xf>
    <xf xfId="0" fontId="19" numFmtId="0" fillId="3" borderId="10" applyFont="1" applyNumberFormat="0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13" applyFont="1" applyNumberFormat="0" applyFill="0" applyBorder="1" applyAlignment="0"/>
    <xf xfId="0" fontId="22" numFmtId="0" fillId="0" borderId="14" applyFont="1" applyNumberFormat="0" applyFill="0" applyBorder="1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23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15" applyFont="1" applyNumberFormat="0" applyFill="1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15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0" numFmtId="0" fillId="0" borderId="16" applyFont="1" applyNumberFormat="0" applyFill="0" applyBorder="1" applyAlignment="0"/>
    <xf xfId="0" fontId="20" numFmtId="0" fillId="0" borderId="17" applyFont="1" applyNumberFormat="0" applyFill="0" applyBorder="1" applyAlignment="0"/>
    <xf xfId="0" fontId="19" numFmtId="0" fillId="5" borderId="18" applyFont="1" applyNumberFormat="0" applyFill="1" applyBorder="1" applyAlignment="1">
      <alignment vertical="center" textRotation="0" wrapText="true" shrinkToFit="false"/>
    </xf>
    <xf xfId="0" fontId="20" numFmtId="0" fillId="0" borderId="19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true" shrinkToFit="false"/>
    </xf>
    <xf xfId="0" fontId="21" numFmtId="0" fillId="0" borderId="0" applyFont="1" applyNumberFormat="0" applyFill="0" applyBorder="0" applyAlignment="0"/>
    <xf xfId="0" fontId="20" numFmtId="0" fillId="0" borderId="7" applyFont="1" applyNumberFormat="0" applyFill="0" applyBorder="1" applyAlignment="0"/>
    <xf xfId="0" fontId="20" numFmtId="0" fillId="0" borderId="9" applyFont="1" applyNumberFormat="0" applyFill="0" applyBorder="1" applyAlignment="0"/>
    <xf xfId="0" fontId="20" numFmtId="0" fillId="0" borderId="8" applyFont="1" applyNumberFormat="0" applyFill="0" applyBorder="1" applyAlignment="0"/>
    <xf xfId="0" fontId="20" numFmtId="0" fillId="0" borderId="6" applyFont="1" applyNumberFormat="0" applyFill="0" applyBorder="1" applyAlignment="0"/>
    <xf xfId="0" fontId="18" numFmtId="0" fillId="2" borderId="20" applyFont="1" applyNumberFormat="0" applyFill="1" applyBorder="1" applyAlignment="1">
      <alignment horizontal="center" vertical="center" textRotation="0" wrapText="true" shrinkToFit="false"/>
    </xf>
    <xf xfId="0" fontId="18" numFmtId="0" fillId="2" borderId="15" applyFont="1" applyNumberFormat="0" applyFill="1" applyBorder="1" applyAlignment="1">
      <alignment horizontal="center" vertical="center" textRotation="0" wrapText="false" shrinkToFit="false"/>
    </xf>
    <xf xfId="0" fontId="20" numFmtId="0" fillId="0" borderId="13" applyFont="1" applyNumberFormat="0" applyFill="0" applyBorder="1" applyAlignment="0"/>
    <xf xfId="0" fontId="20" numFmtId="0" fillId="0" borderId="14" applyFont="1" applyNumberFormat="0" applyFill="0" applyBorder="1" applyAlignment="0"/>
    <xf xfId="0" fontId="18" numFmtId="0" fillId="2" borderId="21" applyFont="1" applyNumberFormat="0" applyFill="1" applyBorder="1" applyAlignment="1">
      <alignment horizontal="center" vertical="center" textRotation="0" wrapText="false" shrinkToFit="false"/>
    </xf>
    <xf xfId="0" fontId="20" numFmtId="0" fillId="0" borderId="22" applyFont="1" applyNumberFormat="0" applyFill="0" applyBorder="1" applyAlignment="0"/>
    <xf xfId="0" fontId="20" numFmtId="0" fillId="0" borderId="23" applyFont="1" applyNumberFormat="0" applyFill="0" applyBorder="1" applyAlignment="0"/>
    <xf xfId="0" fontId="20" numFmtId="0" fillId="0" borderId="10" applyFont="1" applyNumberFormat="0" applyFill="0" applyBorder="1" applyAlignment="0"/>
    <xf xfId="0" fontId="20" numFmtId="0" fillId="0" borderId="11" applyFont="1" applyNumberFormat="0" applyFill="0" applyBorder="1" applyAlignment="0"/>
    <xf xfId="0" fontId="20" numFmtId="0" fillId="0" borderId="24" applyFont="1" applyNumberFormat="0" applyFill="0" applyBorder="1" applyAlignment="0"/>
    <xf xfId="0" fontId="20" numFmtId="0" fillId="0" borderId="25" applyFont="1" applyNumberFormat="0" applyFill="0" applyBorder="1" applyAlignment="0"/>
    <xf xfId="0" fontId="20" numFmtId="0" fillId="0" borderId="18" applyFont="1" applyNumberFormat="0" applyFill="0" applyBorder="1" applyAlignment="0"/>
    <xf xfId="0" fontId="20" numFmtId="0" fillId="0" borderId="26" applyFont="1" applyNumberFormat="0" applyFill="0" applyBorder="1" applyAlignment="0"/>
    <xf xfId="0" fontId="3" numFmtId="0" fillId="3" borderId="3" applyFont="1" applyNumberFormat="0" applyFill="1" applyBorder="1" applyAlignment="1">
      <alignment vertical="center" textRotation="0" wrapText="false" shrinkToFit="false"/>
    </xf>
    <xf xfId="0" fontId="18" numFmtId="0" fillId="2" borderId="21" applyFont="1" applyNumberFormat="0" applyFill="1" applyBorder="1" applyAlignment="1">
      <alignment horizontal="center" vertical="center" textRotation="0" wrapText="tru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true" shrinkToFit="false"/>
    </xf>
    <xf xfId="0" fontId="3" numFmtId="0" fillId="5" borderId="12" applyFont="1" applyNumberFormat="0" applyFill="1" applyBorder="1" applyAlignment="1">
      <alignment vertical="center" textRotation="0" wrapText="false" shrinkToFit="false"/>
    </xf>
    <xf xfId="0" fontId="19" numFmtId="0" fillId="3" borderId="12" applyFont="1" applyNumberFormat="0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20" numFmtId="0" fillId="0" borderId="27" applyFont="1" applyNumberFormat="0" applyFill="0" applyBorder="1" applyAlignment="0"/>
    <xf xfId="0" fontId="3" numFmtId="0" fillId="0" borderId="5" applyFont="1" applyNumberFormat="0" applyFill="0" applyBorder="1" applyAlignment="1">
      <alignment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true" shrinkToFit="false"/>
    </xf>
    <xf xfId="0" fontId="25" numFmtId="0" fillId="0" borderId="0" applyFont="1" applyNumberFormat="0" applyFill="0" applyBorder="0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3" borderId="3" applyFont="1" applyNumberFormat="0" applyFill="1" applyBorder="1" applyAlignment="1">
      <alignment horizontal="center"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1" numFmtId="0" fillId="0" borderId="0" applyFont="1" applyNumberFormat="0" applyFill="0" applyBorder="0" applyAlignment="0"/>
    <xf xfId="0" fontId="3" numFmtId="0" fillId="3" borderId="3" applyFont="1" applyNumberFormat="0" applyFill="1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19" numFmtId="0" fillId="3" borderId="3" applyFont="1" applyNumberFormat="0" applyFill="1" applyBorder="1" applyAlignment="1">
      <alignment horizontal="center" vertical="center" textRotation="0" wrapText="false" shrinkToFit="false"/>
    </xf>
    <xf xfId="0" fontId="20" numFmtId="0" fillId="0" borderId="17" applyFont="1" applyNumberFormat="0" applyFill="0" applyBorder="1" applyAlignment="0"/>
    <xf xfId="0" fontId="3" numFmtId="0" fillId="0" borderId="3" applyFont="1" applyNumberFormat="0" applyFill="0" applyBorder="1" applyAlignment="1">
      <alignment vertical="center" textRotation="0" wrapText="false" shrinkToFit="false"/>
    </xf>
    <xf xfId="0" fontId="20" numFmtId="0" fillId="0" borderId="16" applyFont="1" applyNumberFormat="0" applyFill="0" applyBorder="1" applyAlignment="0"/>
    <xf xfId="0" fontId="20" numFmtId="0" fillId="0" borderId="18" applyFont="1" applyNumberFormat="0" applyFill="0" applyBorder="1" applyAlignment="0"/>
    <xf xfId="0" fontId="20" numFmtId="0" fillId="0" borderId="19" applyFont="1" applyNumberFormat="0" applyFill="0" applyBorder="1" applyAlignment="0"/>
    <xf xfId="0" fontId="20" numFmtId="0" fillId="0" borderId="26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19" applyFont="1" applyNumberFormat="0" applyFill="0" applyBorder="1" applyAlignment="1">
      <alignment vertical="center" textRotation="0" wrapText="false" shrinkToFit="false"/>
    </xf>
    <xf xfId="0" fontId="27" numFmtId="0" fillId="0" borderId="0" applyFont="1" applyNumberFormat="0" applyFill="0" applyBorder="0" applyAlignment="0"/>
    <xf xfId="0" fontId="27" numFmtId="0" fillId="0" borderId="16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470804b150d765089c280c2aa60776a.png"/><Relationship Id="rId2" Type="http://schemas.openxmlformats.org/officeDocument/2006/relationships/image" Target="../media/470c3e695aa2c57e138cbfb5c51f8cb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6470804b150d765089c280c2aa60776a.png"/><Relationship Id="rId2" Type="http://schemas.openxmlformats.org/officeDocument/2006/relationships/image" Target="../media/470c3e695aa2c57e138cbfb5c51f8cb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86c47dbd2f73ad3efdb886a9d2406487.png"/><Relationship Id="rId2" Type="http://schemas.openxmlformats.org/officeDocument/2006/relationships/image" Target="../media/6470804b150d765089c280c2aa60776a.png"/><Relationship Id="rId3" Type="http://schemas.openxmlformats.org/officeDocument/2006/relationships/image" Target="../media/86c47dbd2f73ad3efdb886a9d2406487.png"/><Relationship Id="rId4" Type="http://schemas.openxmlformats.org/officeDocument/2006/relationships/image" Target="../media/6470804b150d765089c280c2aa60776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3" name="image7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4" name="image1.png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84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78"/>
      <c r="C2" s="85"/>
      <c r="D2" s="78"/>
      <c r="E2" s="78"/>
      <c r="F2" s="1"/>
      <c r="G2" s="81" t="s">
        <v>0</v>
      </c>
      <c r="H2" s="78"/>
      <c r="I2" s="78"/>
      <c r="J2" s="78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86" t="s">
        <v>2</v>
      </c>
      <c r="AI2" s="78"/>
      <c r="AJ2" s="78"/>
      <c r="AK2" s="10"/>
    </row>
    <row r="3" spans="1:37" customHeight="1" ht="15.75">
      <c r="A3" s="5"/>
      <c r="B3" s="78"/>
      <c r="C3" s="78"/>
      <c r="D3" s="78"/>
      <c r="E3" s="78"/>
      <c r="F3" s="1"/>
      <c r="G3" s="81" t="s">
        <v>3</v>
      </c>
      <c r="H3" s="78"/>
      <c r="I3" s="78"/>
      <c r="J3" s="78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78"/>
      <c r="AI3" s="78"/>
      <c r="AJ3" s="78"/>
      <c r="AK3" s="10"/>
    </row>
    <row r="4" spans="1:37" customHeight="1" ht="15.75">
      <c r="A4" s="5"/>
      <c r="B4" s="78"/>
      <c r="C4" s="78"/>
      <c r="D4" s="78"/>
      <c r="E4" s="78"/>
      <c r="F4" s="1"/>
      <c r="G4" s="81" t="s">
        <v>5</v>
      </c>
      <c r="H4" s="78"/>
      <c r="I4" s="78"/>
      <c r="J4" s="78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78"/>
      <c r="AI4" s="78"/>
      <c r="AJ4" s="78"/>
      <c r="AK4" s="10"/>
    </row>
    <row r="5" spans="1:37" customHeight="1" ht="15.75">
      <c r="A5" s="5"/>
      <c r="B5" s="78"/>
      <c r="C5" s="78"/>
      <c r="D5" s="78"/>
      <c r="E5" s="78"/>
      <c r="F5" s="1"/>
      <c r="G5" s="81" t="s">
        <v>6</v>
      </c>
      <c r="H5" s="78"/>
      <c r="I5" s="78"/>
      <c r="J5" s="78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78"/>
      <c r="AI5" s="78"/>
      <c r="AJ5" s="78"/>
      <c r="AK5" s="10"/>
    </row>
    <row r="6" spans="1:37" customHeight="1" ht="15.75">
      <c r="A6" s="5"/>
      <c r="B6" s="78"/>
      <c r="C6" s="78"/>
      <c r="D6" s="78"/>
      <c r="E6" s="78"/>
      <c r="F6" s="1"/>
      <c r="G6" s="81" t="s">
        <v>7</v>
      </c>
      <c r="H6" s="78"/>
      <c r="I6" s="78"/>
      <c r="J6" s="78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78"/>
      <c r="AI6" s="78"/>
      <c r="AJ6" s="78"/>
      <c r="AK6" s="10"/>
    </row>
    <row r="7" spans="1:37" customHeight="1" ht="15.75">
      <c r="A7" s="5"/>
      <c r="B7" s="78"/>
      <c r="C7" s="78"/>
      <c r="D7" s="78"/>
      <c r="E7" s="78"/>
      <c r="F7" s="1"/>
      <c r="G7" s="81" t="s">
        <v>8</v>
      </c>
      <c r="H7" s="78"/>
      <c r="I7" s="78"/>
      <c r="J7" s="78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78"/>
      <c r="AI7" s="78"/>
      <c r="AJ7" s="78"/>
      <c r="AK7" s="10"/>
    </row>
    <row r="8" spans="1:37" customHeight="1" ht="15.75">
      <c r="A8" s="5"/>
      <c r="B8" s="78"/>
      <c r="C8" s="1"/>
      <c r="D8" s="1"/>
      <c r="E8" s="1"/>
      <c r="F8" s="1"/>
      <c r="G8" s="1"/>
      <c r="H8" s="1"/>
      <c r="I8" s="12"/>
      <c r="J8" s="82" t="s">
        <v>9</v>
      </c>
      <c r="K8" s="78"/>
      <c r="L8" s="78"/>
      <c r="M8" s="78"/>
      <c r="N8" s="78"/>
      <c r="O8" s="78"/>
      <c r="P8" s="78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83" t="s">
        <v>10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80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90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78"/>
      <c r="C2" s="91"/>
      <c r="D2" s="78"/>
      <c r="E2" s="78"/>
      <c r="F2" s="2"/>
      <c r="G2" s="87" t="s">
        <v>0</v>
      </c>
      <c r="H2" s="78"/>
      <c r="I2" s="78"/>
      <c r="J2" s="78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92" t="s">
        <v>2</v>
      </c>
      <c r="AI2" s="78"/>
      <c r="AJ2" s="78"/>
      <c r="AK2" s="32"/>
    </row>
    <row r="3" spans="1:37" customHeight="1" ht="15">
      <c r="A3" s="27"/>
      <c r="B3" s="78"/>
      <c r="C3" s="78"/>
      <c r="D3" s="78"/>
      <c r="E3" s="78"/>
      <c r="F3" s="2"/>
      <c r="G3" s="87" t="s">
        <v>3</v>
      </c>
      <c r="H3" s="78"/>
      <c r="I3" s="78"/>
      <c r="J3" s="78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78"/>
      <c r="AI3" s="78"/>
      <c r="AJ3" s="78"/>
      <c r="AK3" s="32"/>
    </row>
    <row r="4" spans="1:37" customHeight="1" ht="15">
      <c r="A4" s="27"/>
      <c r="B4" s="78"/>
      <c r="C4" s="78"/>
      <c r="D4" s="78"/>
      <c r="E4" s="78"/>
      <c r="F4" s="2"/>
      <c r="G4" s="87" t="s">
        <v>5</v>
      </c>
      <c r="H4" s="78"/>
      <c r="I4" s="78"/>
      <c r="J4" s="78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78"/>
      <c r="AI4" s="78"/>
      <c r="AJ4" s="78"/>
      <c r="AK4" s="32"/>
    </row>
    <row r="5" spans="1:37" customHeight="1" ht="15">
      <c r="A5" s="27"/>
      <c r="B5" s="78"/>
      <c r="C5" s="78"/>
      <c r="D5" s="78"/>
      <c r="E5" s="78"/>
      <c r="F5" s="2"/>
      <c r="G5" s="87" t="s">
        <v>6</v>
      </c>
      <c r="H5" s="78"/>
      <c r="I5" s="78"/>
      <c r="J5" s="78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78"/>
      <c r="AI5" s="78"/>
      <c r="AJ5" s="78"/>
      <c r="AK5" s="32"/>
    </row>
    <row r="6" spans="1:37" customHeight="1" ht="15">
      <c r="A6" s="27"/>
      <c r="B6" s="78"/>
      <c r="C6" s="78"/>
      <c r="D6" s="78"/>
      <c r="E6" s="78"/>
      <c r="F6" s="2"/>
      <c r="G6" s="87" t="s">
        <v>7</v>
      </c>
      <c r="H6" s="78"/>
      <c r="I6" s="78"/>
      <c r="J6" s="78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78"/>
      <c r="AI6" s="78"/>
      <c r="AJ6" s="78"/>
      <c r="AK6" s="32"/>
    </row>
    <row r="7" spans="1:37" customHeight="1" ht="15">
      <c r="A7" s="27"/>
      <c r="B7" s="78"/>
      <c r="C7" s="78"/>
      <c r="D7" s="78"/>
      <c r="E7" s="78"/>
      <c r="F7" s="2"/>
      <c r="G7" s="87" t="s">
        <v>8</v>
      </c>
      <c r="H7" s="78"/>
      <c r="I7" s="78"/>
      <c r="J7" s="78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78"/>
      <c r="AI7" s="78"/>
      <c r="AJ7" s="78"/>
      <c r="AK7" s="32"/>
    </row>
    <row r="8" spans="1:37" customHeight="1" ht="15">
      <c r="A8" s="27"/>
      <c r="B8" s="78"/>
      <c r="C8" s="2"/>
      <c r="D8" s="2"/>
      <c r="E8" s="2"/>
      <c r="F8" s="2"/>
      <c r="G8" s="2"/>
      <c r="H8" s="2"/>
      <c r="I8" s="35"/>
      <c r="J8" s="88" t="s">
        <v>9</v>
      </c>
      <c r="K8" s="78"/>
      <c r="L8" s="78"/>
      <c r="M8" s="78"/>
      <c r="N8" s="78"/>
      <c r="O8" s="78"/>
      <c r="P8" s="78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89" t="s">
        <v>10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80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32"/>
  <sheetViews>
    <sheetView tabSelected="1" workbookViewId="0" zoomScale="81" zoomScaleNormal="81" showGridLines="true" showRowColHeaders="1">
      <selection activeCell="AA7" sqref="AA7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6.85546875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146"/>
      <c r="B1" s="3"/>
      <c r="C1" s="3"/>
      <c r="D1" s="147"/>
      <c r="E1" s="147"/>
      <c r="F1" s="147"/>
      <c r="G1" s="74"/>
      <c r="H1" s="3"/>
      <c r="I1" s="3"/>
      <c r="J1" s="74"/>
      <c r="K1" s="3"/>
      <c r="L1" s="3"/>
      <c r="M1" s="3"/>
      <c r="N1" s="3"/>
      <c r="O1" s="3"/>
      <c r="P1" s="3"/>
      <c r="Q1" s="3"/>
      <c r="R1" s="3"/>
      <c r="S1" s="3"/>
      <c r="T1" s="3"/>
      <c r="U1" s="128" t="s">
        <v>724</v>
      </c>
      <c r="V1" s="129"/>
      <c r="W1" s="129"/>
      <c r="X1" s="129"/>
      <c r="Y1" s="129"/>
    </row>
    <row r="2" spans="1:25" customHeight="1" ht="15.75">
      <c r="A2" s="99"/>
      <c r="B2" s="3"/>
      <c r="C2" s="3"/>
      <c r="D2" s="148" t="s">
        <v>725</v>
      </c>
      <c r="E2" s="148"/>
      <c r="F2" s="148"/>
      <c r="G2" s="74"/>
      <c r="H2" s="74" t="s">
        <v>726</v>
      </c>
      <c r="I2" s="74"/>
      <c r="J2" s="149">
        <v>2025</v>
      </c>
      <c r="K2" s="74"/>
      <c r="L2" s="74"/>
      <c r="M2" s="74"/>
      <c r="N2" s="74"/>
      <c r="O2" s="74"/>
      <c r="P2" s="74"/>
      <c r="Q2" s="74"/>
      <c r="R2" s="74"/>
      <c r="S2" s="3"/>
      <c r="T2" s="3"/>
      <c r="U2" s="129"/>
      <c r="V2" s="129"/>
      <c r="W2" s="129"/>
      <c r="X2" s="129"/>
      <c r="Y2" s="129"/>
    </row>
    <row r="3" spans="1:25" customHeight="1" ht="15.75">
      <c r="A3" s="99"/>
      <c r="B3" s="3"/>
      <c r="C3" s="3"/>
      <c r="D3" s="74" t="s">
        <v>727</v>
      </c>
      <c r="E3" s="74"/>
      <c r="F3" s="74"/>
      <c r="G3" s="150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3"/>
      <c r="T3" s="3"/>
      <c r="U3" s="129"/>
      <c r="V3" s="129"/>
      <c r="W3" s="129"/>
      <c r="X3" s="129"/>
      <c r="Y3" s="129"/>
    </row>
    <row r="4" spans="1:25" customHeight="1" ht="15.75">
      <c r="A4" s="99"/>
      <c r="B4" s="3"/>
      <c r="C4" s="3"/>
      <c r="D4" s="74" t="s">
        <v>728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3"/>
      <c r="T4" s="3"/>
      <c r="U4" s="129"/>
      <c r="V4" s="129"/>
      <c r="W4" s="129"/>
      <c r="X4" s="129"/>
      <c r="Y4" s="129"/>
    </row>
    <row r="5" spans="1:25" customHeight="1" ht="15.75">
      <c r="A5" s="99"/>
      <c r="B5" s="3"/>
      <c r="C5" s="3"/>
      <c r="D5" s="130" t="s">
        <v>729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3"/>
      <c r="T5" s="3"/>
      <c r="U5" s="129"/>
      <c r="V5" s="129"/>
      <c r="W5" s="129"/>
      <c r="X5" s="129"/>
      <c r="Y5" s="129"/>
    </row>
    <row r="6" spans="1:25" customHeight="1" ht="15.75">
      <c r="A6" s="99"/>
      <c r="B6" s="3"/>
      <c r="C6" s="3"/>
      <c r="D6" s="148" t="s">
        <v>5</v>
      </c>
      <c r="E6" s="148"/>
      <c r="F6" s="148"/>
      <c r="G6" s="151" t="s">
        <v>730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3"/>
      <c r="T6" s="3"/>
      <c r="U6" s="129"/>
      <c r="V6" s="129"/>
      <c r="W6" s="129"/>
      <c r="X6" s="129"/>
      <c r="Y6" s="129"/>
    </row>
    <row r="7" spans="1:25" customHeight="1" ht="15.75">
      <c r="A7" s="99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29"/>
      <c r="V7" s="129"/>
      <c r="W7" s="129"/>
      <c r="X7" s="129"/>
      <c r="Y7" s="129"/>
    </row>
    <row r="8" spans="1:25" customHeight="1" ht="15.75" outlineLevel="1">
      <c r="A8" s="131" t="s">
        <v>731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2"/>
    </row>
    <row r="9" spans="1:25" customHeight="1" ht="15.75" outlineLevel="1">
      <c r="A9" s="104" t="s">
        <v>732</v>
      </c>
      <c r="B9" s="105" t="s">
        <v>733</v>
      </c>
      <c r="C9" s="106"/>
      <c r="D9" s="107"/>
      <c r="E9" s="108" t="s">
        <v>734</v>
      </c>
      <c r="F9" s="110"/>
      <c r="G9" s="118" t="s">
        <v>735</v>
      </c>
      <c r="H9" s="109"/>
      <c r="I9" s="109"/>
      <c r="J9" s="109"/>
      <c r="K9" s="110"/>
      <c r="L9" s="118" t="s">
        <v>732</v>
      </c>
      <c r="M9" s="109"/>
      <c r="N9" s="109"/>
      <c r="O9" s="109"/>
      <c r="P9" s="110"/>
      <c r="Q9" s="105" t="s">
        <v>733</v>
      </c>
      <c r="R9" s="106"/>
      <c r="S9" s="107"/>
      <c r="T9" s="108" t="s">
        <v>734</v>
      </c>
      <c r="U9" s="110"/>
      <c r="V9" s="118" t="s">
        <v>735</v>
      </c>
      <c r="W9" s="109"/>
      <c r="X9" s="109"/>
      <c r="Y9" s="110"/>
    </row>
    <row r="10" spans="1:25" customHeight="1" ht="15.75" outlineLevel="1">
      <c r="A10" s="103"/>
      <c r="B10" s="53" t="s">
        <v>736</v>
      </c>
      <c r="C10" s="54" t="s">
        <v>737</v>
      </c>
      <c r="D10" s="54" t="s">
        <v>738</v>
      </c>
      <c r="E10" s="100"/>
      <c r="F10" s="102"/>
      <c r="G10" s="100"/>
      <c r="H10" s="101"/>
      <c r="I10" s="101"/>
      <c r="J10" s="101"/>
      <c r="K10" s="102"/>
      <c r="L10" s="100"/>
      <c r="M10" s="101"/>
      <c r="N10" s="101"/>
      <c r="O10" s="101"/>
      <c r="P10" s="102"/>
      <c r="Q10" s="53" t="s">
        <v>736</v>
      </c>
      <c r="R10" s="54" t="s">
        <v>737</v>
      </c>
      <c r="S10" s="54" t="s">
        <v>738</v>
      </c>
      <c r="T10" s="100"/>
      <c r="U10" s="102"/>
      <c r="V10" s="100"/>
      <c r="W10" s="101"/>
      <c r="X10" s="101"/>
      <c r="Y10" s="102"/>
    </row>
    <row r="11" spans="1:25" customHeight="1" ht="15.75" outlineLevel="1">
      <c r="A11" s="96" t="s">
        <v>739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116"/>
    </row>
    <row r="12" spans="1:25" customHeight="1" ht="40.15" outlineLevel="1">
      <c r="A12" s="55" t="s">
        <v>740</v>
      </c>
      <c r="B12" s="51">
        <v>492</v>
      </c>
      <c r="C12" s="51">
        <v>0</v>
      </c>
      <c r="D12" s="51">
        <v>0</v>
      </c>
      <c r="E12" s="132">
        <f>SUM(B12:D12)</f>
        <v>492</v>
      </c>
      <c r="F12" s="95"/>
      <c r="G12" s="93"/>
      <c r="H12" s="94"/>
      <c r="I12" s="94"/>
      <c r="J12" s="94"/>
      <c r="K12" s="95"/>
      <c r="L12" s="98" t="s">
        <v>741</v>
      </c>
      <c r="M12" s="94"/>
      <c r="N12" s="94"/>
      <c r="O12" s="94"/>
      <c r="P12" s="95"/>
      <c r="Q12" s="51"/>
      <c r="R12" s="51"/>
      <c r="S12" s="51"/>
      <c r="T12" s="120">
        <f>SUM(Q12:S12)</f>
        <v>0</v>
      </c>
      <c r="U12" s="95"/>
      <c r="V12" s="93"/>
      <c r="W12" s="94"/>
      <c r="X12" s="94"/>
      <c r="Y12" s="95"/>
    </row>
    <row r="13" spans="1:25" customHeight="1" ht="41.45" outlineLevel="1">
      <c r="A13" s="56" t="s">
        <v>742</v>
      </c>
      <c r="B13" s="57">
        <f>SUM(B14:B15)</f>
        <v>7</v>
      </c>
      <c r="C13" s="57">
        <f>SUM(C14:C15)</f>
        <v>6</v>
      </c>
      <c r="D13" s="57">
        <f>SUM(D14:D15)</f>
        <v>4</v>
      </c>
      <c r="E13" s="120">
        <f>SUM(B13:D13)</f>
        <v>17</v>
      </c>
      <c r="F13" s="95"/>
      <c r="G13" s="93"/>
      <c r="H13" s="94"/>
      <c r="I13" s="94"/>
      <c r="J13" s="94"/>
      <c r="K13" s="95"/>
      <c r="L13" s="98" t="s">
        <v>743</v>
      </c>
      <c r="M13" s="94"/>
      <c r="N13" s="94"/>
      <c r="O13" s="94"/>
      <c r="P13" s="95"/>
      <c r="Q13" s="51"/>
      <c r="R13" s="51"/>
      <c r="S13" s="51"/>
      <c r="T13" s="120">
        <f>SUM(Q13:S13)</f>
        <v>0</v>
      </c>
      <c r="U13" s="95"/>
      <c r="V13" s="93"/>
      <c r="W13" s="94"/>
      <c r="X13" s="94"/>
      <c r="Y13" s="95"/>
    </row>
    <row r="14" spans="1:25" customHeight="1" ht="41.45" outlineLevel="1">
      <c r="A14" s="50" t="s">
        <v>744</v>
      </c>
      <c r="B14" s="51">
        <v>2</v>
      </c>
      <c r="C14" s="51">
        <v>2</v>
      </c>
      <c r="D14" s="51">
        <v>1</v>
      </c>
      <c r="E14" s="120">
        <f>SUM(B14:D14)</f>
        <v>5</v>
      </c>
      <c r="F14" s="95"/>
      <c r="G14" s="93"/>
      <c r="H14" s="94"/>
      <c r="I14" s="94"/>
      <c r="J14" s="94"/>
      <c r="K14" s="95"/>
      <c r="L14" s="98" t="s">
        <v>745</v>
      </c>
      <c r="M14" s="94"/>
      <c r="N14" s="94"/>
      <c r="O14" s="94"/>
      <c r="P14" s="95"/>
      <c r="Q14" s="51"/>
      <c r="R14" s="51"/>
      <c r="S14" s="51"/>
      <c r="T14" s="120">
        <f>SUM(Q14:S14)</f>
        <v>0</v>
      </c>
      <c r="U14" s="95"/>
      <c r="V14" s="93"/>
      <c r="W14" s="94"/>
      <c r="X14" s="94"/>
      <c r="Y14" s="95"/>
    </row>
    <row r="15" spans="1:25" customHeight="1" ht="45.6" outlineLevel="1">
      <c r="A15" s="50" t="s">
        <v>746</v>
      </c>
      <c r="B15" s="51">
        <v>5</v>
      </c>
      <c r="C15" s="51">
        <v>4</v>
      </c>
      <c r="D15" s="51">
        <v>3</v>
      </c>
      <c r="E15" s="120">
        <f>SUM(B15:D15)</f>
        <v>12</v>
      </c>
      <c r="F15" s="95"/>
      <c r="G15" s="93"/>
      <c r="H15" s="94"/>
      <c r="I15" s="94"/>
      <c r="J15" s="94"/>
      <c r="K15" s="95"/>
      <c r="L15" s="98" t="s">
        <v>747</v>
      </c>
      <c r="M15" s="94"/>
      <c r="N15" s="94"/>
      <c r="O15" s="94"/>
      <c r="P15" s="95"/>
      <c r="Q15" s="51"/>
      <c r="R15" s="51"/>
      <c r="S15" s="51"/>
      <c r="T15" s="120">
        <f>SUM(Q15:S15)</f>
        <v>0</v>
      </c>
      <c r="U15" s="95"/>
      <c r="V15" s="93"/>
      <c r="W15" s="94"/>
      <c r="X15" s="94"/>
      <c r="Y15" s="95"/>
    </row>
    <row r="16" spans="1:25" customHeight="1" ht="63.6" outlineLevel="1">
      <c r="A16" s="56" t="s">
        <v>748</v>
      </c>
      <c r="B16" s="57">
        <f>SUM(B17:B18)-B19</f>
        <v>0</v>
      </c>
      <c r="C16" s="57">
        <f>SUM(C17:C18)-C19</f>
        <v>0</v>
      </c>
      <c r="D16" s="57">
        <f>SUM(D17:D18)-D19</f>
        <v>0</v>
      </c>
      <c r="E16" s="120">
        <f>SUM(B16:D16)</f>
        <v>0</v>
      </c>
      <c r="F16" s="95"/>
      <c r="G16" s="93"/>
      <c r="H16" s="94"/>
      <c r="I16" s="94"/>
      <c r="J16" s="94"/>
      <c r="K16" s="95"/>
      <c r="L16" s="98" t="s">
        <v>749</v>
      </c>
      <c r="M16" s="94"/>
      <c r="N16" s="94"/>
      <c r="O16" s="94"/>
      <c r="P16" s="95"/>
      <c r="Q16" s="51"/>
      <c r="R16" s="51"/>
      <c r="S16" s="51"/>
      <c r="T16" s="120">
        <f>SUM(Q16:S16)</f>
        <v>0</v>
      </c>
      <c r="U16" s="95"/>
      <c r="V16" s="93"/>
      <c r="W16" s="94"/>
      <c r="X16" s="94"/>
      <c r="Y16" s="95"/>
    </row>
    <row r="17" spans="1:25" customHeight="1" ht="41.45" outlineLevel="1">
      <c r="A17" s="50" t="s">
        <v>750</v>
      </c>
      <c r="B17" s="51"/>
      <c r="C17" s="51"/>
      <c r="D17" s="51"/>
      <c r="E17" s="120">
        <f>SUM(B17:D17)</f>
        <v>0</v>
      </c>
      <c r="F17" s="95"/>
      <c r="G17" s="93"/>
      <c r="H17" s="94"/>
      <c r="I17" s="94"/>
      <c r="J17" s="94"/>
      <c r="K17" s="95"/>
      <c r="L17" s="98" t="s">
        <v>751</v>
      </c>
      <c r="M17" s="94"/>
      <c r="N17" s="94"/>
      <c r="O17" s="94"/>
      <c r="P17" s="95"/>
      <c r="Q17" s="51"/>
      <c r="R17" s="51"/>
      <c r="S17" s="51"/>
      <c r="T17" s="120">
        <f>SUM(Q17:S17)</f>
        <v>0</v>
      </c>
      <c r="U17" s="95"/>
      <c r="V17" s="93"/>
      <c r="W17" s="94"/>
      <c r="X17" s="94"/>
      <c r="Y17" s="95"/>
    </row>
    <row r="18" spans="1:25" customHeight="1" ht="34.9" outlineLevel="1">
      <c r="A18" s="50" t="s">
        <v>752</v>
      </c>
      <c r="B18" s="51"/>
      <c r="C18" s="51"/>
      <c r="D18" s="51"/>
      <c r="E18" s="120">
        <f>SUM(B18:D18)</f>
        <v>0</v>
      </c>
      <c r="F18" s="95"/>
      <c r="G18" s="93"/>
      <c r="H18" s="94"/>
      <c r="I18" s="94"/>
      <c r="J18" s="94"/>
      <c r="K18" s="95"/>
      <c r="L18" s="98" t="s">
        <v>753</v>
      </c>
      <c r="M18" s="94"/>
      <c r="N18" s="94"/>
      <c r="O18" s="94"/>
      <c r="P18" s="95"/>
      <c r="Q18" s="51"/>
      <c r="R18" s="51"/>
      <c r="S18" s="51"/>
      <c r="T18" s="120">
        <f>SUM(Q18:S18)</f>
        <v>0</v>
      </c>
      <c r="U18" s="95"/>
      <c r="V18" s="93"/>
      <c r="W18" s="94"/>
      <c r="X18" s="94"/>
      <c r="Y18" s="95"/>
    </row>
    <row r="19" spans="1:25" customHeight="1" ht="31.9" outlineLevel="1">
      <c r="A19" s="50" t="s">
        <v>754</v>
      </c>
      <c r="B19" s="51"/>
      <c r="C19" s="51"/>
      <c r="D19" s="51"/>
      <c r="E19" s="120">
        <f>SUM(B19:D19)</f>
        <v>0</v>
      </c>
      <c r="F19" s="95"/>
      <c r="G19" s="93"/>
      <c r="H19" s="94"/>
      <c r="I19" s="94"/>
      <c r="J19" s="94"/>
      <c r="K19" s="95"/>
      <c r="L19" s="127" t="s">
        <v>755</v>
      </c>
      <c r="M19" s="94"/>
      <c r="N19" s="94"/>
      <c r="O19" s="94"/>
      <c r="P19" s="95"/>
      <c r="Q19" s="51"/>
      <c r="R19" s="51"/>
      <c r="S19" s="51"/>
      <c r="T19" s="120">
        <f>SUM(Q19:S19)</f>
        <v>0</v>
      </c>
      <c r="U19" s="95"/>
      <c r="V19" s="93"/>
      <c r="W19" s="94"/>
      <c r="X19" s="94"/>
      <c r="Y19" s="95"/>
    </row>
    <row r="20" spans="1:25" customHeight="1" ht="48" outlineLevel="1">
      <c r="A20" s="50" t="s">
        <v>756</v>
      </c>
      <c r="B20" s="51"/>
      <c r="C20" s="51"/>
      <c r="D20" s="51"/>
      <c r="E20" s="120">
        <f>SUM(B20:D20)</f>
        <v>0</v>
      </c>
      <c r="F20" s="95"/>
      <c r="G20" s="93"/>
      <c r="H20" s="94"/>
      <c r="I20" s="94"/>
      <c r="J20" s="94"/>
      <c r="K20" s="95"/>
      <c r="L20" s="98" t="s">
        <v>757</v>
      </c>
      <c r="M20" s="94"/>
      <c r="N20" s="94"/>
      <c r="O20" s="94"/>
      <c r="P20" s="95"/>
      <c r="Q20" s="51"/>
      <c r="R20" s="51"/>
      <c r="S20" s="51"/>
      <c r="T20" s="120">
        <f>SUM(Q20:S20)</f>
        <v>0</v>
      </c>
      <c r="U20" s="95"/>
      <c r="V20" s="93"/>
      <c r="W20" s="94"/>
      <c r="X20" s="94"/>
      <c r="Y20" s="95"/>
    </row>
    <row r="21" spans="1:25" customHeight="1" ht="36" outlineLevel="1">
      <c r="A21" s="50" t="s">
        <v>758</v>
      </c>
      <c r="B21" s="51"/>
      <c r="C21" s="51"/>
      <c r="D21" s="51"/>
      <c r="E21" s="120">
        <f>SUM(B21:D21)</f>
        <v>0</v>
      </c>
      <c r="F21" s="95"/>
      <c r="G21" s="93"/>
      <c r="H21" s="94"/>
      <c r="I21" s="94"/>
      <c r="J21" s="94"/>
      <c r="K21" s="95"/>
      <c r="L21" s="98" t="s">
        <v>759</v>
      </c>
      <c r="M21" s="94"/>
      <c r="N21" s="94"/>
      <c r="O21" s="94"/>
      <c r="P21" s="95"/>
      <c r="Q21" s="51"/>
      <c r="R21" s="51"/>
      <c r="S21" s="51"/>
      <c r="T21" s="120">
        <f>SUM(Q21:S21)</f>
        <v>0</v>
      </c>
      <c r="U21" s="95"/>
      <c r="V21" s="93"/>
      <c r="W21" s="94"/>
      <c r="X21" s="94"/>
      <c r="Y21" s="95"/>
    </row>
    <row r="22" spans="1:25" customHeight="1" ht="48" outlineLevel="1">
      <c r="A22" s="50" t="s">
        <v>760</v>
      </c>
      <c r="B22" s="51"/>
      <c r="C22" s="51"/>
      <c r="D22" s="51"/>
      <c r="E22" s="120">
        <f>SUM(B22:D22)</f>
        <v>0</v>
      </c>
      <c r="F22" s="95"/>
      <c r="G22" s="119"/>
      <c r="H22" s="111"/>
      <c r="I22" s="111"/>
      <c r="J22" s="111"/>
      <c r="K22" s="112"/>
      <c r="L22" s="121" t="s">
        <v>761</v>
      </c>
      <c r="M22" s="111"/>
      <c r="N22" s="111"/>
      <c r="O22" s="111"/>
      <c r="P22" s="112"/>
      <c r="Q22" s="58">
        <v>8</v>
      </c>
      <c r="R22" s="58">
        <v>8</v>
      </c>
      <c r="S22" s="58">
        <v>9</v>
      </c>
      <c r="T22" s="123">
        <f>SUM(Q22:S22)</f>
        <v>25</v>
      </c>
      <c r="U22" s="112"/>
      <c r="V22" s="119"/>
      <c r="W22" s="111"/>
      <c r="X22" s="111"/>
      <c r="Y22" s="112"/>
    </row>
    <row r="23" spans="1:25" customHeight="1" ht="28.15" outlineLevel="1">
      <c r="A23" s="77" t="s">
        <v>762</v>
      </c>
      <c r="B23" s="58"/>
      <c r="C23" s="58"/>
      <c r="D23" s="58"/>
      <c r="E23" s="72"/>
      <c r="F23" s="69"/>
      <c r="G23" s="70"/>
      <c r="H23" s="68"/>
      <c r="I23" s="68"/>
      <c r="J23" s="68"/>
      <c r="K23" s="69"/>
      <c r="L23" s="71"/>
      <c r="M23" s="68"/>
      <c r="N23" s="68"/>
      <c r="O23" s="68"/>
      <c r="P23" s="68"/>
      <c r="Q23" s="75"/>
      <c r="R23" s="75"/>
      <c r="S23" s="75"/>
      <c r="T23" s="76"/>
      <c r="U23" s="68"/>
      <c r="V23" s="75"/>
      <c r="W23" s="68"/>
      <c r="X23" s="68"/>
      <c r="Y23" s="69"/>
    </row>
    <row r="24" spans="1:25" customHeight="1" ht="54.6" outlineLevel="1">
      <c r="A24" s="59" t="s">
        <v>763</v>
      </c>
      <c r="B24" s="58"/>
      <c r="C24" s="58"/>
      <c r="D24" s="58"/>
      <c r="E24" s="123">
        <f>SUM(B24:D24)</f>
        <v>0</v>
      </c>
      <c r="F24" s="112"/>
      <c r="G24" s="93"/>
      <c r="H24" s="94"/>
      <c r="I24" s="94"/>
      <c r="J24" s="94"/>
      <c r="K24" s="95"/>
      <c r="L24" s="93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5"/>
    </row>
    <row r="25" spans="1:25" customHeight="1" ht="15.75" outlineLevel="1">
      <c r="A25" s="60"/>
      <c r="B25" s="53" t="s">
        <v>736</v>
      </c>
      <c r="C25" s="54" t="s">
        <v>737</v>
      </c>
      <c r="D25" s="54" t="s">
        <v>738</v>
      </c>
      <c r="E25" s="61"/>
      <c r="F25" s="62"/>
      <c r="G25" s="61"/>
      <c r="H25" s="63"/>
      <c r="I25" s="63"/>
      <c r="J25" s="63"/>
      <c r="K25" s="62"/>
      <c r="L25" s="61"/>
      <c r="M25" s="63"/>
      <c r="N25" s="63"/>
      <c r="O25" s="63"/>
      <c r="P25" s="62"/>
      <c r="Q25" s="53" t="s">
        <v>736</v>
      </c>
      <c r="R25" s="54" t="s">
        <v>737</v>
      </c>
      <c r="S25" s="54" t="s">
        <v>738</v>
      </c>
      <c r="T25" s="61"/>
      <c r="U25" s="62"/>
      <c r="V25" s="61"/>
      <c r="W25" s="63"/>
      <c r="X25" s="63"/>
      <c r="Y25" s="62"/>
    </row>
    <row r="26" spans="1:25" customHeight="1" ht="25.9" outlineLevel="1">
      <c r="A26" s="96" t="s">
        <v>764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116"/>
    </row>
    <row r="27" spans="1:25" customHeight="1" ht="15.75" outlineLevel="1">
      <c r="A27" s="50" t="s">
        <v>765</v>
      </c>
      <c r="B27" s="52"/>
      <c r="C27" s="52"/>
      <c r="D27" s="52"/>
      <c r="E27" s="120">
        <f>SUM(B27:D27)</f>
        <v>0</v>
      </c>
      <c r="F27" s="95"/>
      <c r="G27" s="93"/>
      <c r="H27" s="94"/>
      <c r="I27" s="94"/>
      <c r="J27" s="94"/>
      <c r="K27" s="95"/>
      <c r="L27" s="117" t="s">
        <v>766</v>
      </c>
      <c r="M27" s="94"/>
      <c r="N27" s="94"/>
      <c r="O27" s="94"/>
      <c r="P27" s="95"/>
      <c r="Q27" s="57">
        <f>SUM(Q28:Q29)</f>
        <v>0</v>
      </c>
      <c r="R27" s="57">
        <f>SUM(R28:R29)</f>
        <v>0</v>
      </c>
      <c r="S27" s="57">
        <f>SUM(S28:S29)</f>
        <v>0</v>
      </c>
      <c r="T27" s="120">
        <f>SUM(Q27:S27)</f>
        <v>0</v>
      </c>
      <c r="U27" s="95"/>
      <c r="V27" s="93"/>
      <c r="W27" s="94"/>
      <c r="X27" s="94"/>
      <c r="Y27" s="95"/>
    </row>
    <row r="28" spans="1:25" customHeight="1" ht="15.75" outlineLevel="1">
      <c r="A28" s="50" t="s">
        <v>767</v>
      </c>
      <c r="B28" s="64">
        <f>SUM(B29:B31)</f>
        <v>7</v>
      </c>
      <c r="C28" s="64">
        <f>SUM(C29:C31)</f>
        <v>0</v>
      </c>
      <c r="D28" s="64">
        <f>SUM(D29:D31)</f>
        <v>3</v>
      </c>
      <c r="E28" s="120">
        <f>SUM(B28:D28)</f>
        <v>10</v>
      </c>
      <c r="F28" s="95"/>
      <c r="G28" s="93"/>
      <c r="H28" s="94"/>
      <c r="I28" s="94"/>
      <c r="J28" s="94"/>
      <c r="K28" s="95"/>
      <c r="L28" s="93" t="s">
        <v>768</v>
      </c>
      <c r="M28" s="94"/>
      <c r="N28" s="94"/>
      <c r="O28" s="94"/>
      <c r="P28" s="95"/>
      <c r="Q28" s="51"/>
      <c r="R28" s="51"/>
      <c r="S28" s="51"/>
      <c r="T28" s="120">
        <f>SUM(Q28:S28)</f>
        <v>0</v>
      </c>
      <c r="U28" s="95"/>
      <c r="V28" s="93"/>
      <c r="W28" s="94"/>
      <c r="X28" s="94"/>
      <c r="Y28" s="95"/>
    </row>
    <row r="29" spans="1:25" customHeight="1" ht="15.75" outlineLevel="1">
      <c r="A29" s="50" t="s">
        <v>769</v>
      </c>
      <c r="B29" s="51"/>
      <c r="C29" s="51"/>
      <c r="D29" s="51"/>
      <c r="E29" s="120">
        <f>SUM(B29:D29)</f>
        <v>0</v>
      </c>
      <c r="F29" s="95"/>
      <c r="G29" s="93"/>
      <c r="H29" s="94"/>
      <c r="I29" s="94"/>
      <c r="J29" s="94"/>
      <c r="K29" s="95"/>
      <c r="L29" s="93" t="s">
        <v>770</v>
      </c>
      <c r="M29" s="94"/>
      <c r="N29" s="94"/>
      <c r="O29" s="94"/>
      <c r="P29" s="95"/>
      <c r="Q29" s="51"/>
      <c r="R29" s="51"/>
      <c r="S29" s="51"/>
      <c r="T29" s="120">
        <f>SUM(Q29:S29)</f>
        <v>0</v>
      </c>
      <c r="U29" s="95"/>
      <c r="V29" s="93"/>
      <c r="W29" s="94"/>
      <c r="X29" s="94"/>
      <c r="Y29" s="95"/>
    </row>
    <row r="30" spans="1:25" customHeight="1" ht="15.75" outlineLevel="1">
      <c r="A30" s="50" t="s">
        <v>771</v>
      </c>
      <c r="B30" s="51"/>
      <c r="C30" s="51"/>
      <c r="D30" s="51"/>
      <c r="E30" s="120">
        <f>SUM(B30:D30)</f>
        <v>0</v>
      </c>
      <c r="F30" s="95"/>
      <c r="G30" s="93"/>
      <c r="H30" s="94"/>
      <c r="I30" s="94"/>
      <c r="J30" s="94"/>
      <c r="K30" s="95"/>
      <c r="L30" s="93" t="s">
        <v>772</v>
      </c>
      <c r="M30" s="94"/>
      <c r="N30" s="94"/>
      <c r="O30" s="94"/>
      <c r="P30" s="95"/>
      <c r="Q30" s="51"/>
      <c r="R30" s="51"/>
      <c r="S30" s="51"/>
      <c r="T30" s="120">
        <f>SUM(Q30:S30)</f>
        <v>0</v>
      </c>
      <c r="U30" s="95"/>
      <c r="V30" s="93"/>
      <c r="W30" s="94"/>
      <c r="X30" s="94"/>
      <c r="Y30" s="95"/>
    </row>
    <row r="31" spans="1:25" customHeight="1" ht="15.75" outlineLevel="1">
      <c r="A31" s="50" t="s">
        <v>773</v>
      </c>
      <c r="B31" s="51">
        <v>7</v>
      </c>
      <c r="C31" s="51">
        <v>0</v>
      </c>
      <c r="D31" s="51">
        <v>3</v>
      </c>
      <c r="E31" s="120">
        <f>SUM(B31:D31)</f>
        <v>10</v>
      </c>
      <c r="F31" s="95"/>
      <c r="G31" s="93"/>
      <c r="H31" s="94"/>
      <c r="I31" s="94"/>
      <c r="J31" s="94"/>
      <c r="K31" s="95"/>
      <c r="L31" s="93" t="s">
        <v>774</v>
      </c>
      <c r="M31" s="94"/>
      <c r="N31" s="94"/>
      <c r="O31" s="94"/>
      <c r="P31" s="95"/>
      <c r="Q31" s="51"/>
      <c r="R31" s="51"/>
      <c r="S31" s="51"/>
      <c r="T31" s="120">
        <f>SUM(Q31:S31)</f>
        <v>0</v>
      </c>
      <c r="U31" s="95"/>
      <c r="V31" s="93"/>
      <c r="W31" s="94"/>
      <c r="X31" s="94"/>
      <c r="Y31" s="95"/>
    </row>
    <row r="32" spans="1:25" customHeight="1" ht="15.75" outlineLevel="1">
      <c r="A32" s="124" t="s">
        <v>775</v>
      </c>
      <c r="B32" s="126">
        <f>SUM(B34,B35,B36)</f>
        <v>0</v>
      </c>
      <c r="C32" s="126">
        <f>SUM(C34,C35,C36)</f>
        <v>0</v>
      </c>
      <c r="D32" s="126">
        <f>SUM(D34,D35,D36)</f>
        <v>0</v>
      </c>
      <c r="E32" s="123">
        <f>SUM(B32:D32)</f>
        <v>0</v>
      </c>
      <c r="F32" s="112"/>
      <c r="G32" s="119"/>
      <c r="H32" s="111"/>
      <c r="I32" s="111"/>
      <c r="J32" s="111"/>
      <c r="K32" s="112"/>
      <c r="L32" s="93" t="s">
        <v>776</v>
      </c>
      <c r="M32" s="94"/>
      <c r="N32" s="94"/>
      <c r="O32" s="94"/>
      <c r="P32" s="95"/>
      <c r="Q32" s="51"/>
      <c r="R32" s="51"/>
      <c r="S32" s="51"/>
      <c r="T32" s="120">
        <f>SUM(Q32:S32)</f>
        <v>0</v>
      </c>
      <c r="U32" s="95"/>
      <c r="V32" s="93"/>
      <c r="W32" s="94"/>
      <c r="X32" s="94"/>
      <c r="Y32" s="95"/>
    </row>
    <row r="33" spans="1:25" customHeight="1" ht="15.75" outlineLevel="1">
      <c r="A33" s="125"/>
      <c r="B33" s="125"/>
      <c r="C33" s="125"/>
      <c r="D33" s="125"/>
      <c r="E33" s="115"/>
      <c r="F33" s="116"/>
      <c r="G33" s="115"/>
      <c r="H33" s="97"/>
      <c r="I33" s="97"/>
      <c r="J33" s="97"/>
      <c r="K33" s="116"/>
      <c r="L33" s="93" t="s">
        <v>777</v>
      </c>
      <c r="M33" s="94"/>
      <c r="N33" s="94"/>
      <c r="O33" s="94"/>
      <c r="P33" s="95"/>
      <c r="Q33" s="51"/>
      <c r="R33" s="51"/>
      <c r="S33" s="51"/>
      <c r="T33" s="120">
        <f>SUM(Q33:S33)</f>
        <v>0</v>
      </c>
      <c r="U33" s="95"/>
      <c r="V33" s="93"/>
      <c r="W33" s="94"/>
      <c r="X33" s="94"/>
      <c r="Y33" s="95"/>
    </row>
    <row r="34" spans="1:25" customHeight="1" ht="15.75" outlineLevel="1">
      <c r="A34" s="50" t="s">
        <v>778</v>
      </c>
      <c r="B34" s="51"/>
      <c r="C34" s="51"/>
      <c r="D34" s="51"/>
      <c r="E34" s="120">
        <f>SUM(B34:D34)</f>
        <v>0</v>
      </c>
      <c r="F34" s="95"/>
      <c r="G34" s="93"/>
      <c r="H34" s="94"/>
      <c r="I34" s="94"/>
      <c r="J34" s="94"/>
      <c r="K34" s="95"/>
      <c r="L34" s="93" t="s">
        <v>779</v>
      </c>
      <c r="M34" s="94"/>
      <c r="N34" s="94"/>
      <c r="O34" s="94"/>
      <c r="P34" s="95"/>
      <c r="Q34" s="51"/>
      <c r="R34" s="51"/>
      <c r="S34" s="51"/>
      <c r="T34" s="120">
        <f>SUM(Q34:S34)</f>
        <v>0</v>
      </c>
      <c r="U34" s="95"/>
      <c r="V34" s="93"/>
      <c r="W34" s="94"/>
      <c r="X34" s="94"/>
      <c r="Y34" s="95"/>
    </row>
    <row r="35" spans="1:25" customHeight="1" ht="15.75" outlineLevel="1">
      <c r="A35" s="50" t="s">
        <v>780</v>
      </c>
      <c r="B35" s="51"/>
      <c r="C35" s="51"/>
      <c r="D35" s="51"/>
      <c r="E35" s="120">
        <f>SUM(B35:D35)</f>
        <v>0</v>
      </c>
      <c r="F35" s="95"/>
      <c r="G35" s="93"/>
      <c r="H35" s="94"/>
      <c r="I35" s="94"/>
      <c r="J35" s="94"/>
      <c r="K35" s="95"/>
      <c r="L35" s="93" t="s">
        <v>781</v>
      </c>
      <c r="M35" s="94"/>
      <c r="N35" s="94"/>
      <c r="O35" s="94"/>
      <c r="P35" s="95"/>
      <c r="Q35" s="51">
        <v>1</v>
      </c>
      <c r="R35" s="51">
        <v>1</v>
      </c>
      <c r="S35" s="51">
        <v>1</v>
      </c>
      <c r="T35" s="120">
        <f>SUM(Q35:S35)</f>
        <v>3</v>
      </c>
      <c r="U35" s="95"/>
      <c r="V35" s="93"/>
      <c r="W35" s="94"/>
      <c r="X35" s="94"/>
      <c r="Y35" s="95"/>
    </row>
    <row r="36" spans="1:25" customHeight="1" ht="15.75" outlineLevel="1">
      <c r="A36" s="59" t="s">
        <v>782</v>
      </c>
      <c r="B36" s="58"/>
      <c r="C36" s="58"/>
      <c r="D36" s="58"/>
      <c r="E36" s="123">
        <f>SUM(B36:D36)</f>
        <v>0</v>
      </c>
      <c r="F36" s="112"/>
      <c r="G36" s="119"/>
      <c r="H36" s="111"/>
      <c r="I36" s="111"/>
      <c r="J36" s="111"/>
      <c r="K36" s="112"/>
      <c r="L36" s="119" t="s">
        <v>783</v>
      </c>
      <c r="M36" s="111"/>
      <c r="N36" s="111"/>
      <c r="O36" s="111"/>
      <c r="P36" s="112"/>
      <c r="Q36" s="58"/>
      <c r="R36" s="58"/>
      <c r="S36" s="58"/>
      <c r="T36" s="123">
        <f>SUM(Q36:S36)</f>
        <v>0</v>
      </c>
      <c r="U36" s="112"/>
      <c r="V36" s="119"/>
      <c r="W36" s="111"/>
      <c r="X36" s="111"/>
      <c r="Y36" s="112"/>
    </row>
    <row r="37" spans="1:25" customHeight="1" ht="15.75" outlineLevel="1">
      <c r="A37" s="104" t="s">
        <v>732</v>
      </c>
      <c r="B37" s="105" t="s">
        <v>733</v>
      </c>
      <c r="C37" s="106"/>
      <c r="D37" s="107"/>
      <c r="E37" s="108" t="s">
        <v>734</v>
      </c>
      <c r="F37" s="110"/>
      <c r="G37" s="118" t="s">
        <v>735</v>
      </c>
      <c r="H37" s="109"/>
      <c r="I37" s="109"/>
      <c r="J37" s="109"/>
      <c r="K37" s="110"/>
      <c r="L37" s="118" t="s">
        <v>732</v>
      </c>
      <c r="M37" s="109"/>
      <c r="N37" s="109"/>
      <c r="O37" s="109"/>
      <c r="P37" s="110"/>
      <c r="Q37" s="105" t="s">
        <v>733</v>
      </c>
      <c r="R37" s="106"/>
      <c r="S37" s="107"/>
      <c r="T37" s="108" t="s">
        <v>734</v>
      </c>
      <c r="U37" s="110"/>
      <c r="V37" s="118" t="s">
        <v>735</v>
      </c>
      <c r="W37" s="109"/>
      <c r="X37" s="109"/>
      <c r="Y37" s="110"/>
    </row>
    <row r="38" spans="1:25" customHeight="1" ht="15.75" outlineLevel="1">
      <c r="A38" s="103"/>
      <c r="B38" s="53" t="s">
        <v>736</v>
      </c>
      <c r="C38" s="54" t="s">
        <v>737</v>
      </c>
      <c r="D38" s="54" t="s">
        <v>738</v>
      </c>
      <c r="E38" s="100"/>
      <c r="F38" s="102"/>
      <c r="G38" s="100"/>
      <c r="H38" s="101"/>
      <c r="I38" s="101"/>
      <c r="J38" s="101"/>
      <c r="K38" s="102"/>
      <c r="L38" s="100"/>
      <c r="M38" s="101"/>
      <c r="N38" s="101"/>
      <c r="O38" s="101"/>
      <c r="P38" s="102"/>
      <c r="Q38" s="53" t="s">
        <v>736</v>
      </c>
      <c r="R38" s="54" t="s">
        <v>737</v>
      </c>
      <c r="S38" s="54" t="s">
        <v>738</v>
      </c>
      <c r="T38" s="100"/>
      <c r="U38" s="102"/>
      <c r="V38" s="100"/>
      <c r="W38" s="101"/>
      <c r="X38" s="101"/>
      <c r="Y38" s="102"/>
    </row>
    <row r="39" spans="1:25" customHeight="1" ht="28.9" outlineLevel="1">
      <c r="A39" s="96" t="s">
        <v>784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</row>
    <row r="40" spans="1:25" customHeight="1" ht="61.9" outlineLevel="1">
      <c r="A40" s="50" t="s">
        <v>785</v>
      </c>
      <c r="B40" s="51"/>
      <c r="C40" s="51"/>
      <c r="D40" s="51"/>
      <c r="E40" s="120">
        <f>SUM(B40:D40)</f>
        <v>0</v>
      </c>
      <c r="F40" s="95"/>
      <c r="G40" s="93"/>
      <c r="H40" s="94"/>
      <c r="I40" s="94"/>
      <c r="J40" s="94"/>
      <c r="K40" s="95"/>
      <c r="L40" s="98" t="s">
        <v>786</v>
      </c>
      <c r="M40" s="94"/>
      <c r="N40" s="94"/>
      <c r="O40" s="94"/>
      <c r="P40" s="95"/>
      <c r="Q40" s="51"/>
      <c r="R40" s="51"/>
      <c r="S40" s="51"/>
      <c r="T40" s="120">
        <f>SUM(Q40:S40)</f>
        <v>0</v>
      </c>
      <c r="U40" s="95"/>
      <c r="V40" s="93"/>
      <c r="W40" s="94"/>
      <c r="X40" s="94"/>
      <c r="Y40" s="95"/>
    </row>
    <row r="41" spans="1:25" customHeight="1" ht="42" outlineLevel="1">
      <c r="A41" s="65" t="s">
        <v>787</v>
      </c>
      <c r="B41" s="66">
        <f>SUM(B42:B43)</f>
        <v>0</v>
      </c>
      <c r="C41" s="66">
        <f>SUM(C42:C43)</f>
        <v>0</v>
      </c>
      <c r="D41" s="66">
        <f>SUM(D42:D43)</f>
        <v>0</v>
      </c>
      <c r="E41" s="120">
        <f>SUM(B41:D41)</f>
        <v>0</v>
      </c>
      <c r="F41" s="95"/>
      <c r="G41" s="93"/>
      <c r="H41" s="94"/>
      <c r="I41" s="94"/>
      <c r="J41" s="94"/>
      <c r="K41" s="95"/>
      <c r="L41" s="98" t="s">
        <v>788</v>
      </c>
      <c r="M41" s="94"/>
      <c r="N41" s="94"/>
      <c r="O41" s="94"/>
      <c r="P41" s="95"/>
      <c r="Q41" s="51">
        <v>0</v>
      </c>
      <c r="R41" s="51">
        <v>9</v>
      </c>
      <c r="S41" s="51">
        <v>0</v>
      </c>
      <c r="T41" s="120">
        <f>SUM(Q41:S41)</f>
        <v>9</v>
      </c>
      <c r="U41" s="95"/>
      <c r="V41" s="93"/>
      <c r="W41" s="94"/>
      <c r="X41" s="94"/>
      <c r="Y41" s="95"/>
    </row>
    <row r="42" spans="1:25" customHeight="1" ht="37.9" outlineLevel="1">
      <c r="A42" s="50" t="s">
        <v>789</v>
      </c>
      <c r="B42" s="51"/>
      <c r="C42" s="51"/>
      <c r="D42" s="51"/>
      <c r="E42" s="133">
        <f>SUM(B42:D42)</f>
        <v>0</v>
      </c>
      <c r="F42" s="95"/>
      <c r="G42" s="134"/>
      <c r="H42" s="94"/>
      <c r="I42" s="94"/>
      <c r="J42" s="94"/>
      <c r="K42" s="95"/>
      <c r="L42" s="122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2"/>
    </row>
    <row r="43" spans="1:25" customHeight="1" ht="46.15" outlineLevel="1">
      <c r="A43" s="50" t="s">
        <v>790</v>
      </c>
      <c r="B43" s="51"/>
      <c r="C43" s="51"/>
      <c r="D43" s="51"/>
      <c r="E43" s="133">
        <f>SUM(B43:D43)</f>
        <v>0</v>
      </c>
      <c r="F43" s="95"/>
      <c r="G43" s="134"/>
      <c r="H43" s="94"/>
      <c r="I43" s="94"/>
      <c r="J43" s="94"/>
      <c r="K43" s="95"/>
      <c r="L43" s="113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14"/>
    </row>
    <row r="44" spans="1:25" customHeight="1" ht="39.6" outlineLevel="1">
      <c r="A44" s="136" t="s">
        <v>791</v>
      </c>
      <c r="B44" s="57">
        <f>SUM(B45:B46)-B47</f>
        <v>1</v>
      </c>
      <c r="C44" s="57">
        <f>SUM(C45:C46)-C47</f>
        <v>4</v>
      </c>
      <c r="D44" s="57">
        <f>SUM(D45:D46)-D47</f>
        <v>3</v>
      </c>
      <c r="E44" s="133">
        <f>SUM(B44:D44)</f>
        <v>8</v>
      </c>
      <c r="F44" s="95"/>
      <c r="G44" s="134"/>
      <c r="H44" s="94"/>
      <c r="I44" s="94"/>
      <c r="J44" s="94"/>
      <c r="K44" s="95"/>
      <c r="L44" s="113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14"/>
    </row>
    <row r="45" spans="1:25" customHeight="1" ht="46.15" outlineLevel="1">
      <c r="A45" s="50" t="s">
        <v>792</v>
      </c>
      <c r="B45" s="51"/>
      <c r="C45" s="51"/>
      <c r="D45" s="51"/>
      <c r="E45" s="133">
        <f>SUM(B45:D45)</f>
        <v>0</v>
      </c>
      <c r="F45" s="95"/>
      <c r="G45" s="134"/>
      <c r="H45" s="94"/>
      <c r="I45" s="94"/>
      <c r="J45" s="94"/>
      <c r="K45" s="95"/>
      <c r="L45" s="113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14"/>
    </row>
    <row r="46" spans="1:25" customHeight="1" ht="29.45" outlineLevel="1">
      <c r="A46" s="50" t="s">
        <v>752</v>
      </c>
      <c r="B46" s="58">
        <v>1</v>
      </c>
      <c r="C46" s="58">
        <v>4</v>
      </c>
      <c r="D46" s="58">
        <v>3</v>
      </c>
      <c r="E46" s="123">
        <f>SUM(B46:D46)</f>
        <v>8</v>
      </c>
      <c r="F46" s="112"/>
      <c r="G46" s="119"/>
      <c r="H46" s="111"/>
      <c r="I46" s="111"/>
      <c r="J46" s="111"/>
      <c r="K46" s="112"/>
      <c r="L46" s="113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14"/>
    </row>
    <row r="47" spans="1:25" customHeight="1" ht="39" outlineLevel="1">
      <c r="A47" s="137" t="s">
        <v>793</v>
      </c>
      <c r="B47" s="138"/>
      <c r="C47" s="138"/>
      <c r="D47" s="138"/>
      <c r="E47" s="139">
        <f>SUM(B47:D47)</f>
        <v>0</v>
      </c>
      <c r="F47" s="140"/>
      <c r="G47" s="141"/>
      <c r="H47" s="142"/>
      <c r="I47" s="142"/>
      <c r="J47" s="142"/>
      <c r="K47" s="140"/>
      <c r="L47" s="143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5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67" t="s">
        <v>794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67" t="s">
        <v>795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67" t="s">
        <v>796</v>
      </c>
      <c r="L57" s="67"/>
      <c r="M57" s="67"/>
      <c r="N57" s="67"/>
      <c r="O57" s="67"/>
      <c r="P57" s="67"/>
      <c r="Q57" s="67"/>
      <c r="R57" s="67"/>
      <c r="S57" s="67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67" t="s">
        <v>797</v>
      </c>
      <c r="L58" s="67"/>
      <c r="M58" s="67"/>
      <c r="N58" s="67"/>
      <c r="O58" s="67"/>
      <c r="P58" s="67"/>
      <c r="Q58" s="67"/>
      <c r="R58" s="67"/>
      <c r="S58" s="67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customHeight="1" ht="15.75"/>
    <row r="732" spans="1:25" customHeight="1" ht="15.75"/>
  </sheetData>
  <mergeCells>
    <mergeCell ref="D1:F1"/>
    <mergeCell ref="D2:F2"/>
    <mergeCell ref="D6:F6"/>
    <mergeCell ref="A8:Y8"/>
    <mergeCell ref="A9:A10"/>
    <mergeCell ref="B9:D9"/>
    <mergeCell ref="T12:U12"/>
    <mergeCell ref="V12:Y12"/>
    <mergeCell ref="E9:F10"/>
    <mergeCell ref="G9:K10"/>
    <mergeCell ref="A11:Y11"/>
    <mergeCell ref="E12:F12"/>
    <mergeCell ref="G12:K12"/>
    <mergeCell ref="L12:P12"/>
    <mergeCell ref="L9:P10"/>
    <mergeCell ref="Q9:S9"/>
    <mergeCell ref="T9:U10"/>
    <mergeCell ref="V9:Y10"/>
    <mergeCell ref="T13:U13"/>
    <mergeCell ref="T14:U14"/>
    <mergeCell ref="E13:F13"/>
    <mergeCell ref="G13:K13"/>
    <mergeCell ref="L13:P13"/>
    <mergeCell ref="V13:Y13"/>
    <mergeCell ref="A1:A7"/>
    <mergeCell ref="U1:Y7"/>
    <mergeCell ref="D5:R5"/>
    <mergeCell ref="T16:U16"/>
    <mergeCell ref="V16:Y16"/>
    <mergeCell ref="E14:F14"/>
    <mergeCell ref="E15:F15"/>
    <mergeCell ref="G15:K15"/>
    <mergeCell ref="L15:P15"/>
    <mergeCell ref="T15:U15"/>
    <mergeCell ref="V15:Y15"/>
    <mergeCell ref="E16:F16"/>
    <mergeCell ref="G16:K16"/>
    <mergeCell ref="L16:P16"/>
    <mergeCell ref="G14:K14"/>
    <mergeCell ref="L14:P14"/>
    <mergeCell ref="V14:Y14"/>
    <mergeCell ref="E17:F17"/>
    <mergeCell ref="G17:K17"/>
    <mergeCell ref="L17:P17"/>
    <mergeCell ref="T17:U17"/>
    <mergeCell ref="V17:Y17"/>
    <mergeCell ref="T18:U18"/>
    <mergeCell ref="T19:U19"/>
    <mergeCell ref="T20:U20"/>
    <mergeCell ref="V20:Y20"/>
    <mergeCell ref="T21:U21"/>
    <mergeCell ref="V21:Y21"/>
    <mergeCell ref="E18:F18"/>
    <mergeCell ref="G18:K18"/>
    <mergeCell ref="L18:P18"/>
    <mergeCell ref="V18:Y18"/>
    <mergeCell ref="G19:K19"/>
    <mergeCell ref="L19:P19"/>
    <mergeCell ref="V19:Y19"/>
    <mergeCell ref="E19:F19"/>
    <mergeCell ref="E20:F20"/>
    <mergeCell ref="G20:K20"/>
    <mergeCell ref="L20:P20"/>
    <mergeCell ref="E21:F21"/>
    <mergeCell ref="G21:K21"/>
    <mergeCell ref="L21:P21"/>
    <mergeCell ref="E22:F22"/>
    <mergeCell ref="G22:K22"/>
    <mergeCell ref="L22:P22"/>
    <mergeCell ref="T22:U22"/>
    <mergeCell ref="V22:Y22"/>
    <mergeCell ref="E24:F24"/>
    <mergeCell ref="G24:K24"/>
    <mergeCell ref="L24:Y24"/>
    <mergeCell ref="A26:Y26"/>
    <mergeCell ref="E27:F27"/>
    <mergeCell ref="G27:K27"/>
    <mergeCell ref="L27:P27"/>
    <mergeCell ref="T27:U27"/>
    <mergeCell ref="V27:Y27"/>
    <mergeCell ref="E28:F28"/>
    <mergeCell ref="G28:K28"/>
    <mergeCell ref="L28:P28"/>
    <mergeCell ref="V28:Y28"/>
    <mergeCell ref="T28:U28"/>
    <mergeCell ref="G29:K29"/>
    <mergeCell ref="L29:P29"/>
    <mergeCell ref="V29:Y29"/>
    <mergeCell ref="E29:F29"/>
    <mergeCell ref="E30:F30"/>
    <mergeCell ref="G30:K30"/>
    <mergeCell ref="L30:P30"/>
    <mergeCell ref="E31:F31"/>
    <mergeCell ref="G31:K31"/>
    <mergeCell ref="L31:P31"/>
    <mergeCell ref="T29:U29"/>
    <mergeCell ref="T30:U30"/>
    <mergeCell ref="V30:Y30"/>
    <mergeCell ref="T31:U31"/>
    <mergeCell ref="V31:Y31"/>
    <mergeCell ref="A32:A33"/>
    <mergeCell ref="B32:B33"/>
    <mergeCell ref="C32:C33"/>
    <mergeCell ref="D32:D33"/>
    <mergeCell ref="G32:K33"/>
    <mergeCell ref="L32:P32"/>
    <mergeCell ref="L33:P33"/>
    <mergeCell ref="E32:F33"/>
    <mergeCell ref="E34:F34"/>
    <mergeCell ref="G34:K34"/>
    <mergeCell ref="L34:P34"/>
    <mergeCell ref="V32:Y32"/>
    <mergeCell ref="T32:U32"/>
    <mergeCell ref="T33:U33"/>
    <mergeCell ref="L41:P41"/>
    <mergeCell ref="V41:Y41"/>
    <mergeCell ref="G42:K42"/>
    <mergeCell ref="L42:Y47"/>
    <mergeCell ref="G43:K43"/>
    <mergeCell ref="E46:F46"/>
    <mergeCell ref="G46:K46"/>
    <mergeCell ref="V33:Y33"/>
    <mergeCell ref="V34:Y34"/>
    <mergeCell ref="V35:Y35"/>
    <mergeCell ref="V36:Y36"/>
    <mergeCell ref="T34:U34"/>
    <mergeCell ref="T35:U35"/>
    <mergeCell ref="T36:U36"/>
    <mergeCell ref="E35:F35"/>
    <mergeCell ref="G35:K35"/>
    <mergeCell ref="L35:P35"/>
    <mergeCell ref="V37:Y38"/>
    <mergeCell ref="A39:Y39"/>
    <mergeCell ref="G40:K40"/>
    <mergeCell ref="L40:P40"/>
    <mergeCell ref="V40:Y40"/>
    <mergeCell ref="E41:F41"/>
    <mergeCell ref="E36:F36"/>
    <mergeCell ref="G36:K36"/>
    <mergeCell ref="L36:P36"/>
    <mergeCell ref="A37:A38"/>
    <mergeCell ref="B37:D37"/>
    <mergeCell ref="E37:F38"/>
    <mergeCell ref="G37:K38"/>
    <mergeCell ref="E42:F42"/>
    <mergeCell ref="E43:F43"/>
    <mergeCell ref="E44:F44"/>
    <mergeCell ref="E47:F47"/>
    <mergeCell ref="G47:K47"/>
    <mergeCell ref="T37:U38"/>
    <mergeCell ref="T40:U40"/>
    <mergeCell ref="T41:U41"/>
    <mergeCell ref="L37:P38"/>
    <mergeCell ref="Q37:S37"/>
    <mergeCell ref="G44:K44"/>
    <mergeCell ref="E45:F45"/>
    <mergeCell ref="G45:K45"/>
    <mergeCell ref="E40:F40"/>
    <mergeCell ref="G41:K41"/>
  </mergeCells>
  <printOptions gridLines="false" gridLinesSet="true"/>
  <pageMargins left="0.25" right="0.25" top="0.75" bottom="0.75" header="0.3" footer="0.3"/>
  <pageSetup paperSize="5" orientation="landscape" scale="87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2025-11-07T14:05:28+08:00</dcterms:modified>
  <dc:title/>
  <dc:description/>
  <dc:subject/>
  <cp:keywords/>
  <cp:category/>
</cp:coreProperties>
</file>