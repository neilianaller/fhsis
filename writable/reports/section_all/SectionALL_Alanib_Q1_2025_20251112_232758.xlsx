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al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<sst xmlns="http://schemas.openxmlformats.org/spreadsheetml/2006/main" uniqueCount="1112">
  <si>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</si>
  <si>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</si>
  <si>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</si>
  <si>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</si>
  <si>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</si>
  <si>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</si>
  <si>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</si>
  <si>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</si>
  <si>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</si>
  <si>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</si>
  <si>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</si>
  <si>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</si>
  <si>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</si>
  <si>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</si>
  <si>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</si>
  <si>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</si>
  <si>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</si>
  <si>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</si>
  <si>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</si>
  <si>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</si>
  <si>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</si>
  <si>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</si>
  <si>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</si>
  <si>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</si>
  <si>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</si>
  <si>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</si>
  <si>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</si>
  <si>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</si>
  <si>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</si>
  <si>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</si>
  <si>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</si>
  <si>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</si>
  <si>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</si>
  <si>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</si>
  <si>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</si>
  <si>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</si>
  <si>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</si>
  <si>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</si>
  <si>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</si>
  <si>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</si>
  <si>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</si>
  <si>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</si>
  <si>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</si>
  <si>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</si>
  <si>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</si>
  <si>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</si>
  <si>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</si>
  <si>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</si>
  <si>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</si>
  <si>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</si>
  <si>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</si>
  <si>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</si>
  <si>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</si>
  <si>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</si>
  <si>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</si>
  <si>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</si>
  <si>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</si>
  <si>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</si>
  <si>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</si>
  <si>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</si>
  <si>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</si>
  <si>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</si>
  <si>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</si>
  <si>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</si>
  <si>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</si>
  <si>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</si>
  <si>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</si>
  <si>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</si>
  <si>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</si>
  <si>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</si>
  <si>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</si>
  <si>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</si>
  <si>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</si>
  <si>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</si>
  <si>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</si>
  <si>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</si>
  <si>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</si>
  <si>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</si>
  <si>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</si>
  <si>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</si>
  <si>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</si>
  <si>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</si>
  <si>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</si>
  <si>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</si>
  <si>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</si>
  <si>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</si>
  <si>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</si>
  <si>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</si>
  <si>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</si>
  <si>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</si>
  <si>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</si>
  <si>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</si>
  <si>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</si>
  <si>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</si>
  <si>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</si>
  <si>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</si>
  <si>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</si>
  <si>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</si>
  <si>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</si>
  <si>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</si>
  <si>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</si>
  <si>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</si>
  <si>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</si>
  <si>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</si>
  <si>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</si>
  <si>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</si>
  <si>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</si>
  <si>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</si>
  <si>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</si>
  <si>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</si>
  <si>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</si>
  <si>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</si>
  <si>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</si>
  <si>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</si>
  <si>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</si>
  <si>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</si>
  <si>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</si>
  <si>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</si>
  <si>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</si>
  <si>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</si>
  <si>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</si>
  <si>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</si>
  <si>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</si>
  <si>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</si>
  <si>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</si>
  <si>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</si>
  <si>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</si>
  <si>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</si>
  <si>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</si>
  <si>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</si>
  <si>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</si>
  <si>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</si>
  <si>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</si>
  <si>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</si>
  <si>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</si>
  <si>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</si>
  <si>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</si>
  <si>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</si>
  <si>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</si>
  <si>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</si>
  <si>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</si>
  <si>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</si>
  <si>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</si>
  <si>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</si>
  <si>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</si>
  <si>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</si>
  <si>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</si>
  <si>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</si>
  <si>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</si>
  <si>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</si>
  <si>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</si>
  <si>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</si>
  <si>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</si>
  <si>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</si>
  <si>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</si>
  <si>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</si>
  <si>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</si>
  <si>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</si>
  <si>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</si>
  <si>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</si>
  <si>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</si>
  <si>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</si>
  <si>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</si>
  <si>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</si>
  <si>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</si>
  <si>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</si>
  <si>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</si>
  <si>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</si>
  <si>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</si>
  <si>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</si>
  <si>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</si>
  <si>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</si>
  <si>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</si>
  <si>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</si>
  <si>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</si>
  <si>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</si>
  <si>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</si>
  <si>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</si>
  <si>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</si>
  <si>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</si>
  <si>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</si>
  <si>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</si>
  <si>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</si>
  <si>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</si>
  <si>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</si>
  <si>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</si>
  <si>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</si>
  <si>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</si>
  <si>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</si>
  <si>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</si>
  <si>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</si>
  <si>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</si>
  <si>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</si>
  <si>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</si>
  <si>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</si>
  <si>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</si>
  <si>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</si>
  <si>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</si>
  <si>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</si>
  <si>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</si>
  <si>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</si>
  <si>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</si>
  <si>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</si>
  <si>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</si>
  <si>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</si>
  <si>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</si>
  <si>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</si>
  <si>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</si>
  <si>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</si>
  <si>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</si>
  <si>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</si>
  <si>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</si>
  <si>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</si>
  <si>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</si>
  <si>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</si>
  <si>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</si>
  <si>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</si>
  <si>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</si>
  <si>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</si>
  <si>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</si>
  <si>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</si>
  <si>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</si>
  <si>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</si>
  <si>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</si>
  <si>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</si>
  <si>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</si>
  <si>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</si>
  <si>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</si>
  <si>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</si>
  <si>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</si>
  <si>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</si>
  <si>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</si>
  <si>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</si>
  <si>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</si>
  <si>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</si>
  <si>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</si>
  <si>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</si>
  <si>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</si>
  <si>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</si>
  <si>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</si>
  <si>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</si>
  <si>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</si>
  <si>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</si>
  <si>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</si>
  <si>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</si>
  <si>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</si>
  <si>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</si>
  <si>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</si>
  <si>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</si>
  <si>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</si>
  <si>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</si>
  <si>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</si>
  <si>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</si>
  <si>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</si>
  <si>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</si>
  <si>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</si>
  <si>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</si>
  <si>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</si>
  <si>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</si>
  <si>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</si>
  <si>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</si>
  <si>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</si>
  <si>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</si>
  <si>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</si>
  <si>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</si>
  <si>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</si>
  <si>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</si>
  <si>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</si>
  <si>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</si>
  <si>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</si>
  <si>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</si>
  <si>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</si>
  <si>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</si>
  <si>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</si>
  <si>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</si>
  <si>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</si>
  <si>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</si>
  <si>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</si>
  <si>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</si>
  <si>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</si>
  <si>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</si>
  <si>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</si>
  <si>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</si>
  <si>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</si>
  <si>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</si>
  <si>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</si>
  <si>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</si>
  <si>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</si>
  <si>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</si>
  <si>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</si>
  <si>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</si>
  <si>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</si>
  <si>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</si>
  <si>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</si>
  <si>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</si>
  <si>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</si>
  <si>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</si>
  <si>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</si>
  <si>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</si>
  <si>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</si>
  <si>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</si>
  <si>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</si>
  <si>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</si>
  <si>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</si>
  <si>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</si>
  <si>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</si>
  <si>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</si>
  <si>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</si>
  <si>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</si>
  <si>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</si>
  <si>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</si>
  <si>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</si>
  <si>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</si>
  <si>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</si>
  <si>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</si>
  <si>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</si>
  <si>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</si>
  <si>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</si>
  <si>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</si>
  <si>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</si>
  <si>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</si>
  <si>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</si>
  <si>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</si>
  <si>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</si>
  <si>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</si>
  <si>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</si>
  <si>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</si>
  <si>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</si>
  <si>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</si>
  <si>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</si>
  <si>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</si>
  <si>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</si>
  <si>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</si>
  <si>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</si>
  <si>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</si>
  <si>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</si>
  <si>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</si>
  <si>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</si>
  <si>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</si>
  <si>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</si>
  <si>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</si>
  <si>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</si>
  <si>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</si>
  <si>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</si>
  <si>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</si>
  <si>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</si>
  <si>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</si>
  <si>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</si>
  <si>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</si>
  <si>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</si>
  <si>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</si>
  <si>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</si>
  <si>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</si>
  <si>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</si>
  <si>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</si>
  <si>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</si>
  <si>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</si>
  <si>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</si>
  <si>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</si>
  <si>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</si>
  <si>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</si>
  <si>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</si>
  <si>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</si>
  <si>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</si>
  <si>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</si>
  <si>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</si>
  <si>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</si>
  <si>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</si>
  <si>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</si>
  <si>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</si>
  <si>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</si>
  <si>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</si>
  <si>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</si>
  <si>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</si>
  <si>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</si>
  <si>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</si>
  <si>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</si>
  <si>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</si>
  <si>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</si>
  <si>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</si>
  <si>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</si>
  <si>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</si>
  <si>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</si>
  <si>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</si>
  <si>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</si>
  <si>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</si>
  <si>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</si>
  <si>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</si>
  <si>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</si>
  <si>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</si>
  <si>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</si>
  <si>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</si>
  <si>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</si>
  <si>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</si>
  <si>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</si>
  <si>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</si>
  <si>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</si>
  <si>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</si>
  <si>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</si>
  <si>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</si>
  <si>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</si>
  <si>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</si>
  <si>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</si>
  <si>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</si>
  <si>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</si>
  <si>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</si>
  <si>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</si>
  <si>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</si>
  <si>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</si>
  <si>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</si>
  <si>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</si>
  <si>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</si>
  <si>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</si>
  <si>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</si>
  <si>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</si>
  <si>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</si>
  <si>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</si>
  <si>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</si>
  <si>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</si>
  <si>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</si>
  <si>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</si>
  <si>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</si>
  <si>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</si>
  <si>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</si>
  <si>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</si>
  <si>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</si>
  <si>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</si>
  <si>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</si>
  <si>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</si>
  <si>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</si>
  <si>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</si>
  <si>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</si>
  <si>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</si>
  <si>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</si>
  <si>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</si>
  <si>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</si>
  <si>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</si>
  <si>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</si>
  <si>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</si>
  <si>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</si>
  <si>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</si>
  <si>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</si>
  <si>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</si>
  <si>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</si>
  <si>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</si>
  <si>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</si>
  <si>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</si>
  <si>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</si>
  <si>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</si>
  <si>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</si>
  <si>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</si>
  <si>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</si>
  <si>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</si>
  <si>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</si>
  <si>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</si>
  <si>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</si>
  <si>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</si>
  <si>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</si>
  <si>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</si>
  <si>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</si>
  <si>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</si>
  <si>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</si>
  <si>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</si>
  <si>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</si>
  <si>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</si>
  <si>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</si>
  <si>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</si>
  <si>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</si>
  <si>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</si>
  <si>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</si>
  <si>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</si>
  <si>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</si>
  <si>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</si>
  <si>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</si>
  <si>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</si>
  <si>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</si>
  <si>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</si>
  <si>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</si>
  <si>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</si>
  <si>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</si>
  <si>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</si>
  <si>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</si>
  <si>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</si>
  <si>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</si>
  <si>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</si>
  <si>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</si>
  <si>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</si>
  <si>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</si>
  <si>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</si>
  <si>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</si>
  <si>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</si>
  <si>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</si>
  <si>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</si>
  <si>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</si>
  <si>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</si>
  <si>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</si>
  <si>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</si>
  <si>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</si>
  <si>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</si>
  <si>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</si>
  <si>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</si>
  <si>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</si>
  <si>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</si>
  <si>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</si>
  <si>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</si>
  <si>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</si>
  <si>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</si>
  <si>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</si>
  <si>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</si>
  <si>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</si>
  <si>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</si>
  <si>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</si>
  <si>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</si>
  <si>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</si>
  <si>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</si>
  <si>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</si>
  <si>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</si>
  <si>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</si>
  <si>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</si>
  <si>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</si>
  <si>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</si>
  <si>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</si>
  <si>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</si>
  <si>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</si>
  <si>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</si>
  <si>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</si>
  <si>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</si>
  <si>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</si>
  <si>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</si>
  <si>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</si>
  <si>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</si>
  <si>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</si>
  <si>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</si>
  <si>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</si>
  <si>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</si>
  <si>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</si>
  <si>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</si>
  <si>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</si>
  <si>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</si>
  <si>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</si>
  <si>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</si>
  <si>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</si>
  <si>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</si>
  <si>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</si>
  <si>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</si>
  <si>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</si>
  <si>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</si>
  <si>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</si>
  <si>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</si>
  <si>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</si>
  <si>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</si>
  <si>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</si>
  <si>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</si>
  <si>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</si>
  <si>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</si>
  <si>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</si>
  <si>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</si>
  <si>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</si>
  <si>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</si>
  <si>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</si>
  <si>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</si>
  <si>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</si>
  <si>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</si>
  <si>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</si>
  <si>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</si>
  <si>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</si>
  <si>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</si>
  <si>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</si>
  <si>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</si>
  <si>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</si>
  <si>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</si>
  <si>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</si>
  <si>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</si>
  <si>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</si>
  <si>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</si>
  <si>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</si>
  <si>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</si>
  <si>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</si>
  <si>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</si>
  <si>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</si>
  <si>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</si>
  <si>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</si>
  <si>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</si>
  <si>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</si>
  <si>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</si>
  <si>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</si>
  <si>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</si>
  <si>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</si>
  <si>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</si>
  <si>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</si>
  <si>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</si>
  <si>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</si>
  <si>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</si>
  <si>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</si>
  <si>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</si>
  <si>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</si>
  <si>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</si>
  <si>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</si>
  <si>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</si>
  <si>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</si>
  <si>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</si>
  <si>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</si>
  <si>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</si>
  <si>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</si>
  <si>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</si>
  <si>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</si>
  <si>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</si>
  <si>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</si>
  <si>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</si>
  <si>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</si>
  <si>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</si>
  <si>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</si>
  <si>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</si>
  <si>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</si>
  <si>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</si>
  <si>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</si>
  <si>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</si>
  <si>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</si>
  <si>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</si>
  <si>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</si>
  <si>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</si>
  <si>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</si>
  <si>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</si>
  <si>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</si>
  <si>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</si>
  <si>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</si>
  <si>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</si>
  <si>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</si>
  <si>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</si>
  <si>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</si>
  <si>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</si>
  <si>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</si>
  <si>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</si>
  <si>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</si>
  <si>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</si>
  <si>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</si>
  <si>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</si>
  <si>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</si>
  <si>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</si>
  <si>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</si>
  <si>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</si>
  <si>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</si>
  <si>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</si>
  <si>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</si>
  <si>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</si>
  <si>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</si>
  <si>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</si>
  <si>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</si>
  <si>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</si>
  <si>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</si>
  <si>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</si>
  <si>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</si>
  <si>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</si>
  <si>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</si>
  <si>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</si>
  <si>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</si>
  <si>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</si>
  <si>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</si>
  <si>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</si>
  <si>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</si>
  <si>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</si>
  <si>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</si>
  <si>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</si>
  <si>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</si>
  <si>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</si>
  <si>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</si>
  <si>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</si>
  <si>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</si>
  <si>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</si>
  <si>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</si>
  <si>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</si>
  <si>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</si>
  <si>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</si>
  <si>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</si>
  <si>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</si>
  <si>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</si>
  <si>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</si>
  <si>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</si>
  <si>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</si>
  <si>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</si>
  <si>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</si>
  <si>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</si>
  <si>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</si>
  <si>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</si>
  <si>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</si>
  <si>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</si>
  <si>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</si>
  <si>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</si>
  <si>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</si>
  <si>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</si>
  <si>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</si>
  <si>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</si>
  <si>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</si>
  <si>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</si>
  <si>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</si>
  <si>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</si>
  <si>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</si>
  <si>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</si>
  <si>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</si>
  <si>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</si>
  <si>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</si>
  <si>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</si>
  <si>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</si>
  <si>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</si>
  <si>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</si>
  <si>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</si>
  <si>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</si>
  <si>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</si>
  <si>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</si>
  <si>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</si>
  <si>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</si>
  <si>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</si>
  <si>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</si>
  <si>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</si>
  <si>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</si>
  <si>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</si>
  <si>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</si>
  <si>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</si>
  <si>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</si>
  <si>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</si>
  <si>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</si>
  <si>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</si>
  <si>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</si>
  <si>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</si>
  <si>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</si>
  <si>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</si>
  <si>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</si>
  <si>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</si>
  <si>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</si>
  <si>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</si>
  <si>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</si>
  <si>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</si>
  <si>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</si>
  <si>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</si>
  <si>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</si>
  <si>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</si>
  <si>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</si>
  <si>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</si>
  <si>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</si>
  <si>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</si>
  <si>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</si>
  <si>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</si>
  <si>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</si>
  <si>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</si>
  <si>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</si>
  <si>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</si>
  <si>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</si>
  <si>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</si>
  <si>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</si>
  <si>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</si>
  <si>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</si>
  <si>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</si>
  <si>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</si>
  <si>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</si>
  <si>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</si>
  <si>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</si>
  <si>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</si>
  <si>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</si>
  <si>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</si>
  <si>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</si>
  <si>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</si>
  <si>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</si>
  <si>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</si>
  <si>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</si>
  <si>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</si>
  <si>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</si>
  <si>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</si>
  <si>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</si>
  <si>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</si>
  <si>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</si>
  <si>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</si>
  <si>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</si>
  <si>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</si>
  <si>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Indicators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</si>
  <si>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</si>
  <si>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</si>
  <si>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</si>
  <si>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</si>
  <si>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</si>
  <si>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</si>
  <si>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</si>
  <si>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</si>
  <si>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</si>
  <si>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</si>
  <si>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</si>
  <si>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</si>
  <si>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</si>
  <si>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</si>
  <si>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</si>
  <si>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</si>
  <si>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</si>
  <si>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</si>
  <si>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</si>
  <si>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</si>
  <si>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</si>
  <si>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</si>
  <si>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</si>
  <si>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</si>
  <si>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</si>
  <si>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</si>
  <si>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</si>
  <si>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</si>
  <si>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</si>
  <si>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</si>
  <si>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</si>
  <si>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</si>
  <si>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</si>
  <si>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</si>
  <si>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</si>
  <si>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</si>
  <si>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</si>
  <si>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</si>
  <si>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</si>
  <si>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</si>
  <si>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</si>
  <si>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</si>
  <si>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</si>
  <si>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</si>
  <si>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</si>
  <si>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</si>
  <si>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</si>
  <si>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</si>
  <si>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</si>
  <si>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</si>
  <si>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</si>
  <si>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</si>
  <si>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</si>
  <si>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</si>
  <si>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</si>
  <si>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</si>
  <si>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</si>
  <si>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</si>
  <si>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</si>
  <si>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</si>
  <si>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</si>
  <si>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</si>
  <si>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</si>
  <si>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</si>
  <si>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</si>
  <si>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</si>
  <si>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</si>
  <si>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</si>
  <si>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</si>
  <si>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</si>
  <si>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</si>
  <si>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</si>
  <si>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</si>
  <si>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</si>
  <si>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</si>
  <si>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</si>
  <si>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</si>
  <si>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</si>
  <si>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</si>
  <si>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</si>
  <si>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</si>
  <si>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</si>
  <si>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</si>
  <si>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</si>
  <si>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</si>
  <si>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</si>
  <si>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</si>
  <si>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</si>
  <si>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</si>
  <si>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</si>
  <si>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</si>
  <si>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</si>
  <si>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</si>
  <si>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</si>
  <si>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</si>
  <si>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</si>
  <si>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</si>
  <si>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</si>
  <si>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</si>
  <si>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</si>
  <si>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</si>
  <si>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</si>
  <si>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t xml:space="preserve">6a. Identified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</si>
  <si>
    <r>
      <t xml:space="preserve">8. </t>
    </r>
    <r>
      <rPr>
        <rFont val="Arial"/>
        <b val="true"/>
        <i val="false"/>
        <strike val="false"/>
        <color rgb="FF000000"/>
        <sz val="9"/>
        <u val="none"/>
      </rPr>
      <t xml:space="preserve">SAM </t>
    </r>
    <r>
      <rPr>
        <rFont val="Arial"/>
        <b val="false"/>
        <i val="false"/>
        <strike val="false"/>
        <color rgb="FF000000"/>
        <sz val="9"/>
        <u val="none"/>
      </rPr>
      <t xml:space="preserve">without complication admitted to OTC</t>
    </r>
  </si>
  <si>
    <r>
      <t xml:space="preserve">6b. Identified </t>
    </r>
    <r>
      <rPr>
        <rFont val="Arial"/>
        <b val="true"/>
        <i val="false"/>
        <strike val="false"/>
        <color rgb="FF000000"/>
        <sz val="9"/>
        <u val="none"/>
      </rPr>
      <t xml:space="preserve">SAM</t>
    </r>
  </si>
  <si>
    <t>8a. Cured</t>
  </si>
  <si>
    <r>
      <t xml:space="preserve">7.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  <r>
      <rPr>
        <rFont val="Arial"/>
        <b val="false"/>
        <i val="false"/>
        <strike val="false"/>
        <color rgb="FF000000"/>
        <sz val="9"/>
        <u val="none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</si>
  <si>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</si>
  <si>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</si>
  <si>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</si>
  <si>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</si>
  <si>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</si>
  <si>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</si>
  <si>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</si>
  <si>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</si>
  <si>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</si>
  <si>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</si>
  <si>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</si>
  <si>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</si>
  <si>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</si>
  <si>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</si>
  <si>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</si>
  <si>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</si>
  <si>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</si>
  <si>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FIRST VISIT TO AN ORAL HEALTH CARE PROFESSIONAL</t>
  </si>
  <si>
    <r>
      <t xml:space="preserve">1. Infants 0-11 months old who had their </t>
    </r>
    <r>
      <rPr>
        <rFont val="Arial"/>
        <b val="true"/>
        <i val="false"/>
        <strike val="false"/>
        <color rgb="FF000000"/>
        <sz val="9"/>
        <u val="none"/>
      </rPr>
      <t xml:space="preserve"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</si>
  <si>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</si>
  <si>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</si>
  <si>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t xml:space="preserve">1a.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 </t>
    </r>
    <r>
      <rPr>
        <rFont val="Arial"/>
        <b val="false"/>
        <i val="false"/>
        <strike val="false"/>
        <color rgb="FF000000"/>
        <sz val="9"/>
        <u val="none"/>
      </rPr>
      <t xml:space="preserve">oral health care professional within a year</t>
    </r>
  </si>
  <si>
    <r>
      <t xml:space="preserve">1a.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</si>
  <si>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</si>
  <si>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</si>
  <si>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</si>
  <si>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</si>
  <si>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t xml:space="preserve">2a.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</si>
  <si>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2a.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</si>
  <si>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</si>
  <si>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</si>
  <si>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</si>
  <si>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</si>
  <si>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t xml:space="preserve">3a.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</si>
  <si>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3a.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</si>
  <si>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</si>
  <si>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</si>
  <si>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</si>
  <si>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</si>
  <si>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t xml:space="preserve">4a.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</si>
  <si>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4a.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</si>
  <si>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</si>
  <si>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</si>
  <si>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</si>
  <si>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</si>
  <si>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t xml:space="preserve">5a.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</si>
  <si>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5a.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</si>
  <si>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</si>
  <si>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</si>
  <si>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</si>
  <si>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</si>
  <si>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</si>
  <si>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r>
      <t xml:space="preserve">6a.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</si>
  <si>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6b. Pregnant Women who had their 1st visit to a non-facility-based oral health care professional within a year</t>
  </si>
  <si>
    <r>
      <t xml:space="preserve">6b.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</si>
  <si>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</si>
  <si>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</si>
  <si>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</si>
  <si>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</si>
  <si>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</si>
  <si>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</si>
  <si>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</si>
  <si>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</si>
  <si>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</si>
  <si>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</si>
  <si>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</si>
  <si>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</si>
  <si>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</si>
  <si>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</si>
  <si>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</si>
  <si>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</si>
  <si>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</si>
  <si>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</si>
  <si>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</si>
  <si>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</si>
  <si>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</si>
  <si>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</si>
  <si>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</si>
  <si>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</si>
  <si>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</si>
  <si>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</si>
  <si>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</si>
  <si>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</si>
  <si>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</si>
  <si>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</si>
  <si>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</si>
  <si>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</si>
  <si>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</si>
  <si>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</si>
  <si>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</si>
  <si>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</si>
  <si>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</si>
  <si>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</si>
  <si>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</si>
  <si>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</si>
  <si>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</si>
  <si>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</si>
  <si>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</si>
  <si>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</si>
  <si>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</si>
  <si>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</si>
  <si>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</si>
  <si>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</si>
  <si>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</si>
  <si>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</si>
  <si>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</si>
  <si>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</si>
  <si>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</si>
  <si>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</si>
  <si>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</si>
  <si>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</si>
  <si>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</si>
  <si>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</si>
  <si>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</si>
  <si>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</si>
  <si>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</si>
  <si>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</si>
  <si>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</si>
  <si>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</si>
  <si>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</si>
  <si>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</si>
  <si>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</si>
  <si>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</si>
  <si>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</si>
  <si>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</si>
  <si>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</si>
  <si>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</si>
  <si>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</si>
  <si>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</si>
  <si>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</si>
  <si>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Water</t>
  </si>
  <si>
    <t>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</si>
  <si>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</si>
  <si>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</si>
  <si>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</si>
  <si>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</si>
  <si>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</si>
  <si>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</si>
  <si>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</si>
  <si>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</si>
  <si>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</si>
  <si>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</si>
  <si>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</si>
  <si>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</si>
  <si>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</si>
  <si>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t>SECTION G. INFECTIOUS DISEASE PREVENTION AND CONTROL SERVICES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</si>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</sst>
</file>

<file path=xl/styles.xml><?xml version="1.0" encoding="utf-8"?>
<styleSheet xmlns="http://schemas.openxmlformats.org/spreadsheetml/2006/main">
  <numFmts count="1">
    <numFmt numFmtId="164" formatCode="m\-d"/>
  </numFmts>
  <fonts count="29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vertical="center" textRotation="0" wrapText="false" shrinkToFit="false"/>
    </xf>
    <xf xfId="0" fontId="3" numFmtId="0" fillId="2" borderId="14" applyFont="1" applyNumberFormat="0" applyFill="1" applyBorder="1" applyAlignment="1">
      <alignment vertical="center" textRotation="0" wrapText="false" shrinkToFit="false"/>
    </xf>
    <xf xfId="0" fontId="3" numFmtId="0" fillId="2" borderId="15" applyFont="1" applyNumberFormat="0" applyFill="1" applyBorder="1" applyAlignment="1">
      <alignment vertical="center" textRotation="0" wrapText="false" shrinkToFit="false"/>
    </xf>
    <xf xfId="0" fontId="3" numFmtId="0" fillId="2" borderId="16" applyFont="1" applyNumberFormat="0" applyFill="1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3" numFmtId="0" fillId="6" borderId="2" applyFont="1" applyNumberFormat="0" applyFill="1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17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19" numFmtId="0" fillId="3" borderId="18" applyFont="1" applyNumberFormat="0" applyFill="1" applyBorder="1" applyAlignment="1">
      <alignment horizontal="center"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18" numFmtId="164" fillId="2" borderId="7" applyFont="1" applyNumberFormat="1" applyFill="1" applyBorder="1" applyAlignment="1">
      <alignment horizontal="center" vertical="center" textRotation="0" wrapText="fals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5" applyFont="1" applyNumberFormat="0" applyFill="1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vertical="center" textRotation="0" wrapText="true" shrinkToFit="false"/>
    </xf>
    <xf xfId="0" fontId="3" numFmtId="0" fillId="6" borderId="8" applyFont="1" applyNumberFormat="0" applyFill="1" applyBorder="1" applyAlignment="1">
      <alignment vertical="center" textRotation="0" wrapText="false" shrinkToFit="false"/>
    </xf>
    <xf xfId="0" fontId="3" numFmtId="0" fillId="6" borderId="5" applyFont="1" applyNumberFormat="0" applyFill="1" applyBorder="1" applyAlignment="1">
      <alignment vertical="center" textRotation="0" wrapText="false" shrinkToFit="false"/>
    </xf>
    <xf xfId="0" fontId="3" numFmtId="0" fillId="6" borderId="20" applyFont="1" applyNumberFormat="0" applyFill="1" applyBorder="1" applyAlignment="1">
      <alignment vertical="center" textRotation="0" wrapText="false" shrinkToFit="false"/>
    </xf>
    <xf xfId="0" fontId="3" numFmtId="0" fillId="6" borderId="12" applyFont="1" applyNumberFormat="0" applyFill="1" applyBorder="1" applyAlignment="1">
      <alignment vertical="center" textRotation="0" wrapText="false" shrinkToFit="false"/>
    </xf>
    <xf xfId="0" fontId="3" numFmtId="0" fillId="0" borderId="21" applyFont="1" applyNumberFormat="0" applyFill="0" applyBorder="1" applyAlignment="1">
      <alignment vertical="center" textRotation="0" wrapText="false" shrinkToFit="false"/>
    </xf>
    <xf xfId="0" fontId="3" numFmtId="0" fillId="6" borderId="18" applyFont="1" applyNumberFormat="0" applyFill="1" applyBorder="1" applyAlignment="1">
      <alignment vertical="center" textRotation="0" wrapText="false" shrinkToFit="false"/>
    </xf>
    <xf xfId="0" fontId="3" numFmtId="0" fillId="3" borderId="9" applyFont="1" applyNumberFormat="0" applyFill="1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22" applyFont="1" applyNumberFormat="0" applyFill="1" applyBorder="1" applyAlignment="1">
      <alignment horizontal="center" vertical="center" textRotation="0" wrapText="true" shrinkToFit="false"/>
    </xf>
    <xf xfId="0" fontId="24" numFmtId="0" fillId="0" borderId="23" applyFont="1" applyNumberFormat="0" applyFill="0" applyBorder="1" applyAlignment="0"/>
    <xf xfId="0" fontId="24" numFmtId="0" fillId="0" borderId="24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22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false" shrinkToFit="false"/>
    </xf>
    <xf xfId="0" fontId="22" numFmtId="0" fillId="0" borderId="26" applyFont="1" applyNumberFormat="0" applyFill="0" applyBorder="1" applyAlignment="0"/>
    <xf xfId="0" fontId="22" numFmtId="0" fillId="0" borderId="27" applyFont="1" applyNumberFormat="0" applyFill="0" applyBorder="1" applyAlignment="0"/>
    <xf xfId="0" fontId="22" numFmtId="0" fillId="0" borderId="14" applyFont="1" applyNumberFormat="0" applyFill="0" applyBorder="1" applyAlignment="0"/>
    <xf xfId="0" fontId="22" numFmtId="0" fillId="0" borderId="16" applyFont="1" applyNumberFormat="0" applyFill="0" applyBorder="1" applyAlignment="0"/>
    <xf xfId="0" fontId="22" numFmtId="0" fillId="0" borderId="15" applyFont="1" applyNumberFormat="0" applyFill="0" applyBorder="1" applyAlignment="0"/>
    <xf xfId="0" fontId="18" numFmtId="0" fillId="2" borderId="22" applyFont="1" applyNumberFormat="0" applyFill="1" applyBorder="1" applyAlignment="1">
      <alignment horizontal="center" vertical="center" textRotation="0" wrapText="false" shrinkToFit="false"/>
    </xf>
    <xf xfId="0" fontId="22" numFmtId="0" fillId="0" borderId="23" applyFont="1" applyNumberFormat="0" applyFill="0" applyBorder="1" applyAlignment="0"/>
    <xf xfId="0" fontId="22" numFmtId="0" fillId="0" borderId="24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2" numFmtId="0" fillId="0" borderId="13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22" applyFont="1" applyNumberFormat="0" applyFill="1" applyBorder="1" applyAlignment="1">
      <alignment horizontal="center" vertical="center" textRotation="0" wrapText="true" shrinkToFit="false"/>
    </xf>
    <xf xfId="0" fontId="3" numFmtId="0" fillId="0" borderId="28" applyFont="1" applyNumberFormat="0" applyFill="0" applyBorder="1" applyAlignment="1">
      <alignment vertical="center" textRotation="0" wrapText="false" shrinkToFit="false"/>
    </xf>
    <xf xfId="0" fontId="22" numFmtId="0" fillId="0" borderId="29" applyFont="1" applyNumberFormat="0" applyFill="0" applyBorder="1" applyAlignment="0"/>
    <xf xfId="0" fontId="18" quotePrefix="1" numFmtId="0" fillId="2" borderId="22" applyFont="1" applyNumberFormat="0" applyFill="1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28" applyFont="1" applyNumberFormat="0" applyFill="0" applyBorder="1" applyAlignment="1">
      <alignment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2" numFmtId="0" fillId="0" borderId="30" applyFont="1" applyNumberFormat="0" applyFill="0" applyBorder="1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tru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18" numFmtId="0" fillId="2" borderId="14" applyFont="1" applyNumberFormat="0" applyFill="1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22" numFmtId="0" fillId="0" borderId="18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22" numFmtId="0" fillId="0" borderId="8" applyFont="1" applyNumberFormat="0" applyFill="0" applyBorder="1" applyAlignment="0"/>
    <xf xfId="0" fontId="3" numFmtId="0" fillId="5" borderId="9" applyFont="1" applyNumberFormat="0" applyFill="1" applyBorder="1" applyAlignment="1">
      <alignment vertical="center" textRotation="0" wrapText="false" shrinkToFit="false"/>
    </xf>
    <xf xfId="0" fontId="22" numFmtId="0" fillId="0" borderId="28" applyFont="1" applyNumberFormat="0" applyFill="0" applyBorder="1" applyAlignment="0"/>
    <xf xfId="0" fontId="22" numFmtId="0" fillId="0" borderId="8" applyFont="1" applyNumberFormat="0" applyFill="0" applyBorder="1" applyAlignment="0"/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6" borderId="0" applyFont="1" applyNumberFormat="0" applyFill="1" applyBorder="0" applyAlignment="1">
      <alignment vertical="center" textRotation="0" wrapText="false" shrinkToFit="false"/>
    </xf>
    <xf xfId="0" fontId="19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18" numFmtId="0" fillId="2" borderId="31" applyFont="1" applyNumberFormat="0" applyFill="1" applyBorder="1" applyAlignment="1">
      <alignment horizontal="center" vertical="center" textRotation="0" wrapText="false" shrinkToFit="false"/>
    </xf>
    <xf xfId="0" fontId="22" numFmtId="0" fillId="0" borderId="32" applyFont="1" applyNumberFormat="0" applyFill="0" applyBorder="1" applyAlignment="0"/>
    <xf xfId="0" fontId="18" numFmtId="0" fillId="2" borderId="31" applyFont="1" applyNumberFormat="0" applyFill="1" applyBorder="1" applyAlignment="1">
      <alignment horizontal="center" vertical="center" textRotation="0" wrapText="true" shrinkToFit="false"/>
    </xf>
    <xf xfId="0" fontId="18" numFmtId="0" fillId="2" borderId="30" applyFont="1" applyNumberFormat="0" applyFill="1" applyBorder="1" applyAlignment="1">
      <alignment horizontal="center" vertical="center" textRotation="0" wrapText="true" shrinkToFit="false"/>
    </xf>
    <xf xfId="0" fontId="18" numFmtId="0" fillId="2" borderId="14" applyFont="1" applyNumberFormat="0" applyFill="1" applyBorder="1" applyAlignment="1">
      <alignment horizontal="center" vertical="center" textRotation="0" wrapText="false" shrinkToFit="false"/>
    </xf>
    <xf xfId="0" fontId="9" numFmtId="0" fillId="7" borderId="8" applyFont="1" applyNumberFormat="0" applyFill="1" applyBorder="1" applyAlignment="1">
      <alignment vertical="center" textRotation="0" wrapText="true" shrinkToFit="false"/>
    </xf>
    <xf xfId="0" fontId="28" numFmtId="0" fillId="0" borderId="5" applyFont="1" applyNumberFormat="0" applyFill="0" applyBorder="1" applyAlignment="0"/>
    <xf xfId="0" fontId="28" numFmtId="0" fillId="0" borderId="20" applyFont="1" applyNumberFormat="0" applyFill="0" applyBorder="1" applyAlignment="0"/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6" borderId="3" applyFont="1" applyNumberFormat="0" applyFill="1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5" borderId="0" applyFont="1" applyNumberFormat="0" applyFill="1" applyBorder="0" applyAlignment="1">
      <alignment vertical="center" textRotation="0" wrapText="true" shrinkToFit="false"/>
    </xf>
    <xf xfId="0" fontId="19" numFmtId="0" fillId="5" borderId="3" applyFont="1" applyNumberFormat="0" applyFill="1" applyBorder="1" applyAlignment="1">
      <alignment vertical="center" textRotation="0" wrapText="tru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8" applyFont="1" applyNumberFormat="0" applyFill="1" applyBorder="1" applyAlignment="1">
      <alignment vertical="center" textRotation="0" wrapText="false" shrinkToFit="false"/>
    </xf>
    <xf xfId="0" fontId="22" numFmtId="0" fillId="0" borderId="31" applyFont="1" applyNumberFormat="0" applyFill="0" applyBorder="1" applyAlignment="0"/>
    <xf xfId="0" fontId="18" numFmtId="164" fillId="2" borderId="22" applyFont="1" applyNumberFormat="1" applyFill="1" applyBorder="1" applyAlignment="1">
      <alignment horizontal="center" vertical="center" textRotation="0" wrapText="false" shrinkToFit="false"/>
    </xf>
    <xf xfId="0" fontId="3" numFmtId="0" fillId="8" borderId="3" applyFont="1" applyNumberFormat="0" applyFill="1" applyBorder="1" applyAlignment="1">
      <alignment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true" shrinkToFit="false"/>
    </xf>
    <xf xfId="0" fontId="18" numFmtId="0" fillId="2" borderId="34" applyFont="1" applyNumberFormat="0" applyFill="1" applyBorder="1" applyAlignment="1">
      <alignment horizontal="center" vertical="center" textRotation="0" wrapText="true" shrinkToFit="false"/>
    </xf>
    <xf xfId="0" fontId="22" numFmtId="0" fillId="0" borderId="0" applyFont="1" applyNumberFormat="0" applyFill="0" applyBorder="0" applyAlignment="0"/>
    <xf xfId="0" fontId="3" numFmtId="0" fillId="8" borderId="9" applyFont="1" applyNumberFormat="0" applyFill="1" applyBorder="1" applyAlignment="1">
      <alignment vertical="center" textRotation="0" wrapText="false" shrinkToFit="false"/>
    </xf>
    <xf xfId="0" fontId="3" numFmtId="0" fillId="6" borderId="9" applyFont="1" applyNumberFormat="0" applyFill="1" applyBorder="1" applyAlignment="1">
      <alignment vertical="center" textRotation="0" wrapText="false" shrinkToFit="false"/>
    </xf>
    <xf xfId="0" fontId="19" numFmtId="0" fillId="0" borderId="9" applyFont="1" applyNumberFormat="0" applyFill="0" applyBorder="1" applyAlignment="1">
      <alignment horizontal="center" vertical="center" textRotation="0" wrapText="false" shrinkToFit="false"/>
    </xf>
    <xf xfId="0" fontId="19" numFmtId="0" fillId="0" borderId="10" applyFont="1" applyNumberFormat="0" applyFill="0" applyBorder="1" applyAlignment="1">
      <alignment horizontal="center" vertical="center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28" applyFont="1" applyNumberFormat="0" applyFill="0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29" applyFont="1" applyNumberFormat="0" applyFill="0" applyBorder="1" applyAlignment="1">
      <alignment horizontal="center" vertical="center" textRotation="0" wrapText="false" shrinkToFit="false"/>
    </xf>
    <xf xfId="0" fontId="19" numFmtId="0" fillId="0" borderId="8" applyFont="1" applyNumberFormat="0" applyFill="0" applyBorder="1" applyAlignment="1">
      <alignment horizontal="center" vertical="center" textRotation="0" wrapText="false" shrinkToFit="false"/>
    </xf>
    <xf xfId="0" fontId="19" numFmtId="0" fillId="0" borderId="5" applyFont="1" applyNumberFormat="0" applyFill="0" applyBorder="1" applyAlignment="1">
      <alignment horizontal="center" vertical="center" textRotation="0" wrapText="false" shrinkToFit="false"/>
    </xf>
    <xf xfId="0" fontId="19" numFmtId="0" fillId="0" borderId="20" applyFont="1" applyNumberFormat="0" applyFill="0" applyBorder="1" applyAlignment="1">
      <alignment horizontal="center"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false" shrinkToFit="false"/>
    </xf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2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6e4e746e9aa8d54ae90eedbc4b66aaf.png"/><Relationship Id="rId2" Type="http://schemas.openxmlformats.org/officeDocument/2006/relationships/image" Target="../media/d1e909fa521fa46271b1f18a17fe5b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11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113"/>
      <c r="C2" s="119"/>
      <c r="D2" s="113"/>
      <c r="E2" s="113"/>
      <c r="F2" s="1"/>
      <c r="G2" s="112" t="s">
        <v>0</v>
      </c>
      <c r="H2" s="113"/>
      <c r="I2" s="113"/>
      <c r="J2" s="11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20" t="s">
        <v>2</v>
      </c>
      <c r="AI2" s="113"/>
      <c r="AJ2" s="113"/>
      <c r="AK2" s="10"/>
    </row>
    <row r="3" spans="1:37" customHeight="1" ht="15.75">
      <c r="A3" s="5"/>
      <c r="B3" s="113"/>
      <c r="C3" s="113"/>
      <c r="D3" s="113"/>
      <c r="E3" s="113"/>
      <c r="F3" s="1"/>
      <c r="G3" s="112" t="s">
        <v>3</v>
      </c>
      <c r="H3" s="113"/>
      <c r="I3" s="113"/>
      <c r="J3" s="11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3"/>
      <c r="AI3" s="113"/>
      <c r="AJ3" s="113"/>
      <c r="AK3" s="10"/>
    </row>
    <row r="4" spans="1:37" customHeight="1" ht="15.75">
      <c r="A4" s="5"/>
      <c r="B4" s="113"/>
      <c r="C4" s="113"/>
      <c r="D4" s="113"/>
      <c r="E4" s="113"/>
      <c r="F4" s="1"/>
      <c r="G4" s="112" t="s">
        <v>5</v>
      </c>
      <c r="H4" s="113"/>
      <c r="I4" s="113"/>
      <c r="J4" s="11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3"/>
      <c r="AI4" s="113"/>
      <c r="AJ4" s="113"/>
      <c r="AK4" s="10"/>
    </row>
    <row r="5" spans="1:37" customHeight="1" ht="15.75">
      <c r="A5" s="5"/>
      <c r="B5" s="113"/>
      <c r="C5" s="113"/>
      <c r="D5" s="113"/>
      <c r="E5" s="113"/>
      <c r="F5" s="1"/>
      <c r="G5" s="112" t="s">
        <v>6</v>
      </c>
      <c r="H5" s="113"/>
      <c r="I5" s="113"/>
      <c r="J5" s="11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3"/>
      <c r="AI5" s="113"/>
      <c r="AJ5" s="113"/>
      <c r="AK5" s="10"/>
    </row>
    <row r="6" spans="1:37" customHeight="1" ht="15.75">
      <c r="A6" s="5"/>
      <c r="B6" s="113"/>
      <c r="C6" s="113"/>
      <c r="D6" s="113"/>
      <c r="E6" s="113"/>
      <c r="F6" s="1"/>
      <c r="G6" s="112" t="s">
        <v>7</v>
      </c>
      <c r="H6" s="113"/>
      <c r="I6" s="113"/>
      <c r="J6" s="11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3"/>
      <c r="AI6" s="113"/>
      <c r="AJ6" s="113"/>
      <c r="AK6" s="10"/>
    </row>
    <row r="7" spans="1:37" customHeight="1" ht="15.75">
      <c r="A7" s="5"/>
      <c r="B7" s="113"/>
      <c r="C7" s="113"/>
      <c r="D7" s="113"/>
      <c r="E7" s="113"/>
      <c r="F7" s="1"/>
      <c r="G7" s="112" t="s">
        <v>8</v>
      </c>
      <c r="H7" s="113"/>
      <c r="I7" s="113"/>
      <c r="J7" s="11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3"/>
      <c r="AI7" s="113"/>
      <c r="AJ7" s="113"/>
      <c r="AK7" s="10"/>
    </row>
    <row r="8" spans="1:37" customHeight="1" ht="15.75">
      <c r="A8" s="5"/>
      <c r="B8" s="113"/>
      <c r="C8" s="1"/>
      <c r="D8" s="1"/>
      <c r="E8" s="1"/>
      <c r="F8" s="1"/>
      <c r="G8" s="1"/>
      <c r="H8" s="1"/>
      <c r="I8" s="12"/>
      <c r="J8" s="114" t="s">
        <v>9</v>
      </c>
      <c r="K8" s="113"/>
      <c r="L8" s="113"/>
      <c r="M8" s="113"/>
      <c r="N8" s="113"/>
      <c r="O8" s="113"/>
      <c r="P8" s="11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115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12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113"/>
      <c r="C2" s="125"/>
      <c r="D2" s="113"/>
      <c r="E2" s="113"/>
      <c r="F2" s="2"/>
      <c r="G2" s="121" t="s">
        <v>0</v>
      </c>
      <c r="H2" s="113"/>
      <c r="I2" s="113"/>
      <c r="J2" s="11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126" t="s">
        <v>2</v>
      </c>
      <c r="AI2" s="113"/>
      <c r="AJ2" s="113"/>
      <c r="AK2" s="32"/>
    </row>
    <row r="3" spans="1:37" customHeight="1" ht="15">
      <c r="A3" s="27"/>
      <c r="B3" s="113"/>
      <c r="C3" s="113"/>
      <c r="D3" s="113"/>
      <c r="E3" s="113"/>
      <c r="F3" s="2"/>
      <c r="G3" s="121" t="s">
        <v>3</v>
      </c>
      <c r="H3" s="113"/>
      <c r="I3" s="113"/>
      <c r="J3" s="11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113"/>
      <c r="AI3" s="113"/>
      <c r="AJ3" s="113"/>
      <c r="AK3" s="32"/>
    </row>
    <row r="4" spans="1:37" customHeight="1" ht="15">
      <c r="A4" s="27"/>
      <c r="B4" s="113"/>
      <c r="C4" s="113"/>
      <c r="D4" s="113"/>
      <c r="E4" s="113"/>
      <c r="F4" s="2"/>
      <c r="G4" s="121" t="s">
        <v>5</v>
      </c>
      <c r="H4" s="113"/>
      <c r="I4" s="113"/>
      <c r="J4" s="11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113"/>
      <c r="AI4" s="113"/>
      <c r="AJ4" s="113"/>
      <c r="AK4" s="32"/>
    </row>
    <row r="5" spans="1:37" customHeight="1" ht="15">
      <c r="A5" s="27"/>
      <c r="B5" s="113"/>
      <c r="C5" s="113"/>
      <c r="D5" s="113"/>
      <c r="E5" s="113"/>
      <c r="F5" s="2"/>
      <c r="G5" s="121" t="s">
        <v>6</v>
      </c>
      <c r="H5" s="113"/>
      <c r="I5" s="113"/>
      <c r="J5" s="11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113"/>
      <c r="AI5" s="113"/>
      <c r="AJ5" s="113"/>
      <c r="AK5" s="32"/>
    </row>
    <row r="6" spans="1:37" customHeight="1" ht="15">
      <c r="A6" s="27"/>
      <c r="B6" s="113"/>
      <c r="C6" s="113"/>
      <c r="D6" s="113"/>
      <c r="E6" s="113"/>
      <c r="F6" s="2"/>
      <c r="G6" s="121" t="s">
        <v>7</v>
      </c>
      <c r="H6" s="113"/>
      <c r="I6" s="113"/>
      <c r="J6" s="11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113"/>
      <c r="AI6" s="113"/>
      <c r="AJ6" s="113"/>
      <c r="AK6" s="32"/>
    </row>
    <row r="7" spans="1:37" customHeight="1" ht="15">
      <c r="A7" s="27"/>
      <c r="B7" s="113"/>
      <c r="C7" s="113"/>
      <c r="D7" s="113"/>
      <c r="E7" s="113"/>
      <c r="F7" s="2"/>
      <c r="G7" s="121" t="s">
        <v>8</v>
      </c>
      <c r="H7" s="113"/>
      <c r="I7" s="113"/>
      <c r="J7" s="11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113"/>
      <c r="AI7" s="113"/>
      <c r="AJ7" s="113"/>
      <c r="AK7" s="32"/>
    </row>
    <row r="8" spans="1:37" customHeight="1" ht="15">
      <c r="A8" s="27"/>
      <c r="B8" s="113"/>
      <c r="C8" s="2"/>
      <c r="D8" s="2"/>
      <c r="E8" s="2"/>
      <c r="F8" s="2"/>
      <c r="G8" s="2"/>
      <c r="H8" s="2"/>
      <c r="I8" s="35"/>
      <c r="J8" s="122" t="s">
        <v>9</v>
      </c>
      <c r="K8" s="113"/>
      <c r="L8" s="113"/>
      <c r="M8" s="113"/>
      <c r="N8" s="113"/>
      <c r="O8" s="113"/>
      <c r="P8" s="11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123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6"/>
  <sheetViews>
    <sheetView tabSelected="1" workbookViewId="0" zoomScale="115" zoomScaleNormal="115" showGridLines="true" showRowColHeaders="1">
      <selection activeCell="I325" sqref="I325"/>
    </sheetView>
  </sheetViews>
  <sheetFormatPr defaultRowHeight="14.4" defaultColWidth="12.7109375" outlineLevelRow="0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>
      <c r="A1" s="151"/>
      <c r="B1" s="50"/>
      <c r="C1" s="50"/>
      <c r="D1" s="150"/>
      <c r="E1" s="150"/>
      <c r="F1" s="15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138" t="s">
        <v>724</v>
      </c>
      <c r="V1" s="139"/>
      <c r="W1" s="139"/>
      <c r="X1" s="139"/>
      <c r="Y1" s="139"/>
    </row>
    <row r="2" spans="1:25">
      <c r="A2" s="141"/>
      <c r="B2" s="50"/>
      <c r="C2" s="50"/>
      <c r="D2" s="146" t="s">
        <v>725</v>
      </c>
      <c r="E2" s="146"/>
      <c r="F2" s="146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139"/>
      <c r="V2" s="139"/>
      <c r="W2" s="139"/>
      <c r="X2" s="139"/>
      <c r="Y2" s="139"/>
    </row>
    <row r="3" spans="1:25">
      <c r="A3" s="141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139"/>
      <c r="V3" s="139"/>
      <c r="W3" s="139"/>
      <c r="X3" s="139"/>
      <c r="Y3" s="139"/>
    </row>
    <row r="4" spans="1:25">
      <c r="A4" s="141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139"/>
      <c r="V4" s="139"/>
      <c r="W4" s="139"/>
      <c r="X4" s="139"/>
      <c r="Y4" s="139"/>
    </row>
    <row r="5" spans="1:25">
      <c r="A5" s="141"/>
      <c r="B5" s="50"/>
      <c r="C5" s="50"/>
      <c r="D5" s="140" t="s">
        <v>730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50"/>
      <c r="T5" s="50"/>
      <c r="U5" s="139"/>
      <c r="V5" s="139"/>
      <c r="W5" s="139"/>
      <c r="X5" s="139"/>
      <c r="Y5" s="139"/>
    </row>
    <row r="6" spans="1:25">
      <c r="A6" s="141"/>
      <c r="B6" s="50"/>
      <c r="C6" s="50"/>
      <c r="D6" s="146" t="s">
        <v>5</v>
      </c>
      <c r="E6" s="146"/>
      <c r="F6" s="146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139"/>
      <c r="V6" s="139"/>
      <c r="W6" s="139"/>
      <c r="X6" s="139"/>
      <c r="Y6" s="139"/>
    </row>
    <row r="7" spans="1:25">
      <c r="A7" s="14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139"/>
      <c r="V7" s="139"/>
      <c r="W7" s="139"/>
      <c r="X7" s="139"/>
      <c r="Y7" s="139"/>
    </row>
    <row r="8" spans="1:25">
      <c r="A8" s="142" t="s">
        <v>732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</row>
    <row r="9" spans="1:25">
      <c r="A9" s="152" t="s">
        <v>733</v>
      </c>
      <c r="B9" s="128"/>
      <c r="C9" s="128"/>
      <c r="D9" s="129"/>
      <c r="E9" s="133" t="s">
        <v>734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5"/>
      <c r="Q9" s="127" t="s">
        <v>735</v>
      </c>
      <c r="R9" s="128"/>
      <c r="S9" s="128"/>
      <c r="T9" s="129"/>
      <c r="U9" s="127" t="s">
        <v>736</v>
      </c>
      <c r="V9" s="128"/>
      <c r="W9" s="128"/>
      <c r="X9" s="128"/>
      <c r="Y9" s="129"/>
    </row>
    <row r="10" spans="1:25">
      <c r="A10" s="130"/>
      <c r="B10" s="131"/>
      <c r="C10" s="131"/>
      <c r="D10" s="132"/>
      <c r="E10" s="145" t="s">
        <v>737</v>
      </c>
      <c r="F10" s="134"/>
      <c r="G10" s="134"/>
      <c r="H10" s="135"/>
      <c r="I10" s="133" t="s">
        <v>738</v>
      </c>
      <c r="J10" s="134"/>
      <c r="K10" s="134"/>
      <c r="L10" s="135"/>
      <c r="M10" s="133" t="s">
        <v>739</v>
      </c>
      <c r="N10" s="134"/>
      <c r="O10" s="134"/>
      <c r="P10" s="135"/>
      <c r="Q10" s="130"/>
      <c r="R10" s="131"/>
      <c r="S10" s="131"/>
      <c r="T10" s="132"/>
      <c r="U10" s="130"/>
      <c r="V10" s="131"/>
      <c r="W10" s="131"/>
      <c r="X10" s="131"/>
      <c r="Y10" s="132"/>
    </row>
    <row r="11" spans="1:25">
      <c r="A11" s="147" t="s">
        <v>740</v>
      </c>
      <c r="B11" s="141"/>
      <c r="C11" s="141"/>
      <c r="D11" s="144"/>
      <c r="E11" s="143"/>
      <c r="F11" s="141"/>
      <c r="G11" s="141"/>
      <c r="H11" s="144"/>
      <c r="I11" s="143"/>
      <c r="J11" s="141"/>
      <c r="K11" s="141"/>
      <c r="L11" s="144"/>
      <c r="M11" s="143"/>
      <c r="N11" s="141"/>
      <c r="O11" s="141"/>
      <c r="P11" s="144"/>
      <c r="Q11" s="143"/>
      <c r="R11" s="141"/>
      <c r="S11" s="141"/>
      <c r="T11" s="144"/>
      <c r="U11" s="143"/>
      <c r="V11" s="141"/>
      <c r="W11" s="141"/>
      <c r="X11" s="141"/>
      <c r="Y11" s="144"/>
    </row>
    <row r="12" spans="1:25">
      <c r="A12" s="148" t="s">
        <v>741</v>
      </c>
      <c r="B12" s="127" t="s">
        <v>742</v>
      </c>
      <c r="C12" s="128"/>
      <c r="D12" s="128"/>
      <c r="E12" s="129"/>
      <c r="F12" s="133" t="s">
        <v>743</v>
      </c>
      <c r="G12" s="134"/>
      <c r="H12" s="134"/>
      <c r="I12" s="134"/>
      <c r="J12" s="134"/>
      <c r="K12" s="134"/>
      <c r="L12" s="134"/>
      <c r="M12" s="135"/>
      <c r="N12" s="127" t="s">
        <v>744</v>
      </c>
      <c r="O12" s="128"/>
      <c r="P12" s="128"/>
      <c r="Q12" s="129"/>
      <c r="R12" s="127" t="s">
        <v>745</v>
      </c>
      <c r="S12" s="128"/>
      <c r="T12" s="128"/>
      <c r="U12" s="129"/>
      <c r="V12" s="127" t="s">
        <v>746</v>
      </c>
      <c r="W12" s="128"/>
      <c r="X12" s="128"/>
      <c r="Y12" s="129"/>
    </row>
    <row r="13" spans="1:25">
      <c r="A13" s="149"/>
      <c r="B13" s="130"/>
      <c r="C13" s="131"/>
      <c r="D13" s="131"/>
      <c r="E13" s="132"/>
      <c r="F13" s="133" t="s">
        <v>747</v>
      </c>
      <c r="G13" s="134"/>
      <c r="H13" s="134"/>
      <c r="I13" s="135"/>
      <c r="J13" s="133" t="s">
        <v>748</v>
      </c>
      <c r="K13" s="134"/>
      <c r="L13" s="134"/>
      <c r="M13" s="135"/>
      <c r="N13" s="130"/>
      <c r="O13" s="131"/>
      <c r="P13" s="131"/>
      <c r="Q13" s="132"/>
      <c r="R13" s="130"/>
      <c r="S13" s="131"/>
      <c r="T13" s="131"/>
      <c r="U13" s="132"/>
      <c r="V13" s="130"/>
      <c r="W13" s="131"/>
      <c r="X13" s="131"/>
      <c r="Y13" s="132"/>
    </row>
    <row r="14" spans="1:25">
      <c r="A14" s="149"/>
      <c r="B14" s="133" t="s">
        <v>734</v>
      </c>
      <c r="C14" s="134"/>
      <c r="D14" s="135"/>
      <c r="E14" s="136" t="s">
        <v>749</v>
      </c>
      <c r="F14" s="133" t="s">
        <v>734</v>
      </c>
      <c r="G14" s="134"/>
      <c r="H14" s="135"/>
      <c r="I14" s="136" t="s">
        <v>749</v>
      </c>
      <c r="J14" s="133" t="s">
        <v>734</v>
      </c>
      <c r="K14" s="134"/>
      <c r="L14" s="135"/>
      <c r="M14" s="136" t="s">
        <v>749</v>
      </c>
      <c r="N14" s="133" t="s">
        <v>734</v>
      </c>
      <c r="O14" s="134"/>
      <c r="P14" s="135"/>
      <c r="Q14" s="136" t="s">
        <v>749</v>
      </c>
      <c r="R14" s="133" t="s">
        <v>734</v>
      </c>
      <c r="S14" s="134"/>
      <c r="T14" s="135"/>
      <c r="U14" s="136" t="s">
        <v>749</v>
      </c>
      <c r="V14" s="133" t="s">
        <v>734</v>
      </c>
      <c r="W14" s="134"/>
      <c r="X14" s="135"/>
      <c r="Y14" s="136" t="s">
        <v>749</v>
      </c>
    </row>
    <row r="15" spans="1:25">
      <c r="A15" s="137"/>
      <c r="B15" s="52" t="s">
        <v>750</v>
      </c>
      <c r="C15" s="51" t="s">
        <v>751</v>
      </c>
      <c r="D15" s="51" t="s">
        <v>752</v>
      </c>
      <c r="E15" s="137"/>
      <c r="F15" s="52" t="s">
        <v>750</v>
      </c>
      <c r="G15" s="51" t="s">
        <v>751</v>
      </c>
      <c r="H15" s="51" t="s">
        <v>752</v>
      </c>
      <c r="I15" s="137"/>
      <c r="J15" s="52" t="s">
        <v>750</v>
      </c>
      <c r="K15" s="51" t="s">
        <v>751</v>
      </c>
      <c r="L15" s="51" t="s">
        <v>752</v>
      </c>
      <c r="M15" s="137"/>
      <c r="N15" s="52" t="s">
        <v>750</v>
      </c>
      <c r="O15" s="51" t="s">
        <v>751</v>
      </c>
      <c r="P15" s="51" t="s">
        <v>752</v>
      </c>
      <c r="Q15" s="137"/>
      <c r="R15" s="52" t="s">
        <v>750</v>
      </c>
      <c r="S15" s="51" t="s">
        <v>751</v>
      </c>
      <c r="T15" s="51" t="s">
        <v>752</v>
      </c>
      <c r="U15" s="137"/>
      <c r="V15" s="52" t="s">
        <v>750</v>
      </c>
      <c r="W15" s="51" t="s">
        <v>751</v>
      </c>
      <c r="X15" s="51" t="s">
        <v>752</v>
      </c>
      <c r="Y15" s="137"/>
    </row>
    <row r="16" spans="1:25">
      <c r="A16" s="53" t="s">
        <v>753</v>
      </c>
      <c r="B16" s="54">
        <v>12</v>
      </c>
      <c r="C16" s="54">
        <v>0</v>
      </c>
      <c r="D16" s="54">
        <v>0</v>
      </c>
      <c r="E16" s="55">
        <f>SUM(B16:D16)</f>
        <v>12</v>
      </c>
      <c r="F16" s="54">
        <v>0</v>
      </c>
      <c r="G16" s="54">
        <v>2</v>
      </c>
      <c r="H16" s="54">
        <v>0</v>
      </c>
      <c r="I16" s="55">
        <f>SUM(F16:H16)</f>
        <v>2</v>
      </c>
      <c r="J16" s="54">
        <v>5</v>
      </c>
      <c r="K16" s="54">
        <v>0</v>
      </c>
      <c r="L16" s="54">
        <v>0</v>
      </c>
      <c r="M16" s="55">
        <f>SUM(J16:L16)</f>
        <v>5</v>
      </c>
      <c r="N16" s="54">
        <v>0</v>
      </c>
      <c r="O16" s="54">
        <v>0</v>
      </c>
      <c r="P16" s="54">
        <v>3</v>
      </c>
      <c r="Q16" s="55">
        <f>SUM(N16:P16)</f>
        <v>3</v>
      </c>
      <c r="R16" s="54">
        <f>SUM(B16,F16,J16-N16)</f>
        <v>17</v>
      </c>
      <c r="S16" s="54">
        <f>SUM(C16,G16,K16-O16)</f>
        <v>2</v>
      </c>
      <c r="T16" s="54">
        <f>SUM(D16,H16,L16-P16)</f>
        <v>-3</v>
      </c>
      <c r="U16" s="55">
        <f>SUM(R16:T16)</f>
        <v>16</v>
      </c>
      <c r="V16" s="54">
        <v>4</v>
      </c>
      <c r="W16" s="54">
        <v>0</v>
      </c>
      <c r="X16" s="54">
        <v>0</v>
      </c>
      <c r="Y16" s="55">
        <f>SUM(V16:X16)</f>
        <v>4</v>
      </c>
    </row>
    <row r="17" spans="1:25">
      <c r="A17" s="53" t="s">
        <v>754</v>
      </c>
      <c r="B17" s="54">
        <v>0</v>
      </c>
      <c r="C17" s="54">
        <v>21</v>
      </c>
      <c r="D17" s="54">
        <v>0</v>
      </c>
      <c r="E17" s="55">
        <f>SUM(B17:D17)</f>
        <v>21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21</v>
      </c>
      <c r="T17" s="54">
        <f>SUM(D17,H17,L17-P17)</f>
        <v>0</v>
      </c>
      <c r="U17" s="55">
        <f>SUM(R17:T17)</f>
        <v>21</v>
      </c>
      <c r="V17" s="54">
        <v>12</v>
      </c>
      <c r="W17" s="54">
        <v>0</v>
      </c>
      <c r="X17" s="54">
        <v>0</v>
      </c>
      <c r="Y17" s="55">
        <f>SUM(V17:X17)</f>
        <v>12</v>
      </c>
    </row>
    <row r="18" spans="1:25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>
      <c r="A34" s="56" t="s">
        <v>771</v>
      </c>
      <c r="B34" s="55">
        <f>SUM(B16,B17,B18,B20,B21,B22,B23,B26,B29,B33)</f>
        <v>12</v>
      </c>
      <c r="C34" s="55">
        <f>SUM(C16,C17,C18,C20,C21,C22,C23,C26,C29,C33)</f>
        <v>21</v>
      </c>
      <c r="D34" s="55">
        <f>SUM(D16,D17,D18,D20,D21,D22,D23,D26,D29,D33)</f>
        <v>0</v>
      </c>
      <c r="E34" s="55">
        <f>SUM(E16,E17,E18,E20,E21,E22,E23,E26,E29,E33)</f>
        <v>33</v>
      </c>
      <c r="F34" s="55">
        <f>SUM(F16,F17,F18,F20,F21,F22,F23,F26,F29,F33)</f>
        <v>0</v>
      </c>
      <c r="G34" s="55">
        <f>SUM(G16,G17,G18,G20,G21,G22,G23,G26,G29,G33)</f>
        <v>2</v>
      </c>
      <c r="H34" s="55">
        <f>SUM(H16,H17,H18,H20,H21,H22,H23,H26,H29,H33)</f>
        <v>0</v>
      </c>
      <c r="I34" s="55">
        <f>SUM(I16,I17,I18,I20,I21,I22,I23,I26,I29,I33)</f>
        <v>2</v>
      </c>
      <c r="J34" s="55">
        <f>SUM(J16,J17,J18,J20,J21,J22,J23,J26,J29,J33)</f>
        <v>5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5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3</v>
      </c>
      <c r="Q34" s="55">
        <f>SUM(Q16,Q17,Q18,Q20,Q21,Q22,Q23,Q26,Q29,Q33)</f>
        <v>3</v>
      </c>
      <c r="R34" s="55">
        <f>SUM(R16,R17,R18,R20,R21,R22,R23,R26,R29,R33)</f>
        <v>17</v>
      </c>
      <c r="S34" s="55">
        <f>SUM(S16,S17,S18,S20,S21,S22,S23,S26,S29,S33)</f>
        <v>23</v>
      </c>
      <c r="T34" s="55">
        <f>SUM(T16,T17,T18,T20,T21,T22,T23,T26,T29,T33)</f>
        <v>-3</v>
      </c>
      <c r="U34" s="55">
        <f>SUM(U16,U17,U18,U20,U21,U22,U23,U26,U29,U33)</f>
        <v>37</v>
      </c>
      <c r="V34" s="55">
        <f>SUM(V16,V17,V18,V20,V21,V22,V23,V26,V29,V33)</f>
        <v>16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16</v>
      </c>
    </row>
    <row r="35" spans="1:25">
      <c r="A35" s="162" t="s">
        <v>772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2"/>
    </row>
    <row r="36" spans="1:25">
      <c r="A36" s="148" t="s">
        <v>773</v>
      </c>
      <c r="B36" s="133" t="s">
        <v>734</v>
      </c>
      <c r="C36" s="134"/>
      <c r="D36" s="135"/>
      <c r="E36" s="127" t="s">
        <v>749</v>
      </c>
      <c r="F36" s="129"/>
      <c r="G36" s="152" t="s">
        <v>736</v>
      </c>
      <c r="H36" s="128"/>
      <c r="I36" s="128"/>
      <c r="J36" s="128"/>
      <c r="K36" s="129"/>
      <c r="L36" s="152" t="s">
        <v>773</v>
      </c>
      <c r="M36" s="128"/>
      <c r="N36" s="128"/>
      <c r="O36" s="128"/>
      <c r="P36" s="129"/>
      <c r="Q36" s="133" t="s">
        <v>734</v>
      </c>
      <c r="R36" s="134"/>
      <c r="S36" s="135"/>
      <c r="T36" s="127" t="s">
        <v>749</v>
      </c>
      <c r="U36" s="129"/>
      <c r="V36" s="152" t="s">
        <v>736</v>
      </c>
      <c r="W36" s="128"/>
      <c r="X36" s="128"/>
      <c r="Y36" s="129"/>
    </row>
    <row r="37" spans="1:25">
      <c r="A37" s="137"/>
      <c r="B37" s="62" t="s">
        <v>750</v>
      </c>
      <c r="C37" s="63" t="s">
        <v>751</v>
      </c>
      <c r="D37" s="63" t="s">
        <v>752</v>
      </c>
      <c r="E37" s="130"/>
      <c r="F37" s="132"/>
      <c r="G37" s="130"/>
      <c r="H37" s="131"/>
      <c r="I37" s="131"/>
      <c r="J37" s="131"/>
      <c r="K37" s="132"/>
      <c r="L37" s="130"/>
      <c r="M37" s="131"/>
      <c r="N37" s="131"/>
      <c r="O37" s="131"/>
      <c r="P37" s="132"/>
      <c r="Q37" s="62" t="s">
        <v>750</v>
      </c>
      <c r="R37" s="63" t="s">
        <v>751</v>
      </c>
      <c r="S37" s="63" t="s">
        <v>752</v>
      </c>
      <c r="T37" s="130"/>
      <c r="U37" s="132"/>
      <c r="V37" s="130"/>
      <c r="W37" s="131"/>
      <c r="X37" s="131"/>
      <c r="Y37" s="132"/>
    </row>
    <row r="38" spans="1:25">
      <c r="A38" s="153" t="s">
        <v>774</v>
      </c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5"/>
    </row>
    <row r="39" spans="1:25" customHeight="1" ht="36">
      <c r="A39" s="65" t="s">
        <v>775</v>
      </c>
      <c r="B39" s="66"/>
      <c r="C39" s="66"/>
      <c r="D39" s="66"/>
      <c r="E39" s="156">
        <f>SUM(B39:D39)</f>
        <v>0</v>
      </c>
      <c r="F39" s="157"/>
      <c r="G39" s="158"/>
      <c r="H39" s="159"/>
      <c r="I39" s="159"/>
      <c r="J39" s="159"/>
      <c r="K39" s="157"/>
      <c r="L39" s="160" t="s">
        <v>776</v>
      </c>
      <c r="M39" s="159"/>
      <c r="N39" s="159"/>
      <c r="O39" s="159"/>
      <c r="P39" s="157"/>
      <c r="Q39" s="66"/>
      <c r="R39" s="66"/>
      <c r="S39" s="66"/>
      <c r="T39" s="161">
        <f>SUM(Q39:S39)</f>
        <v>0</v>
      </c>
      <c r="U39" s="157"/>
      <c r="V39" s="158"/>
      <c r="W39" s="159"/>
      <c r="X39" s="159"/>
      <c r="Y39" s="157"/>
    </row>
    <row r="40" spans="1:25" customHeight="1" ht="36">
      <c r="A40" s="68" t="s">
        <v>777</v>
      </c>
      <c r="B40" s="69">
        <f>SUM(B41:B42)</f>
        <v>7</v>
      </c>
      <c r="C40" s="69">
        <f>SUM(C41:C42)</f>
        <v>6</v>
      </c>
      <c r="D40" s="69">
        <f>SUM(D41:D42)</f>
        <v>4</v>
      </c>
      <c r="E40" s="161">
        <f>SUM(B40:D40)</f>
        <v>17</v>
      </c>
      <c r="F40" s="157"/>
      <c r="G40" s="158"/>
      <c r="H40" s="159"/>
      <c r="I40" s="159"/>
      <c r="J40" s="159"/>
      <c r="K40" s="157"/>
      <c r="L40" s="160" t="s">
        <v>778</v>
      </c>
      <c r="M40" s="159"/>
      <c r="N40" s="159"/>
      <c r="O40" s="159"/>
      <c r="P40" s="157"/>
      <c r="Q40" s="66"/>
      <c r="R40" s="66"/>
      <c r="S40" s="66"/>
      <c r="T40" s="161">
        <f>SUM(Q40:S40)</f>
        <v>0</v>
      </c>
      <c r="U40" s="157"/>
      <c r="V40" s="158"/>
      <c r="W40" s="159"/>
      <c r="X40" s="159"/>
      <c r="Y40" s="157"/>
    </row>
    <row r="41" spans="1:25" customHeight="1" ht="36">
      <c r="A41" s="70" t="s">
        <v>779</v>
      </c>
      <c r="B41" s="66">
        <v>2.0</v>
      </c>
      <c r="C41" s="66">
        <v>2.0</v>
      </c>
      <c r="D41" s="66">
        <v>1.0</v>
      </c>
      <c r="E41" s="161">
        <f>SUM(B41:D41)</f>
        <v>5</v>
      </c>
      <c r="F41" s="157"/>
      <c r="G41" s="158"/>
      <c r="H41" s="159"/>
      <c r="I41" s="159"/>
      <c r="J41" s="159"/>
      <c r="K41" s="157"/>
      <c r="L41" s="160" t="s">
        <v>780</v>
      </c>
      <c r="M41" s="159"/>
      <c r="N41" s="159"/>
      <c r="O41" s="159"/>
      <c r="P41" s="157"/>
      <c r="Q41" s="66"/>
      <c r="R41" s="66"/>
      <c r="S41" s="66"/>
      <c r="T41" s="161">
        <f>SUM(Q41:S41)</f>
        <v>0</v>
      </c>
      <c r="U41" s="157"/>
      <c r="V41" s="158"/>
      <c r="W41" s="159"/>
      <c r="X41" s="159"/>
      <c r="Y41" s="157"/>
    </row>
    <row r="42" spans="1:25" customHeight="1" ht="36">
      <c r="A42" s="70" t="s">
        <v>781</v>
      </c>
      <c r="B42" s="66">
        <v>5.0</v>
      </c>
      <c r="C42" s="66">
        <v>4.0</v>
      </c>
      <c r="D42" s="66">
        <v>3.0</v>
      </c>
      <c r="E42" s="161">
        <f>SUM(B42:D42)</f>
        <v>12</v>
      </c>
      <c r="F42" s="157"/>
      <c r="G42" s="158"/>
      <c r="H42" s="159"/>
      <c r="I42" s="159"/>
      <c r="J42" s="159"/>
      <c r="K42" s="157"/>
      <c r="L42" s="160" t="s">
        <v>782</v>
      </c>
      <c r="M42" s="159"/>
      <c r="N42" s="159"/>
      <c r="O42" s="159"/>
      <c r="P42" s="157"/>
      <c r="Q42" s="66"/>
      <c r="R42" s="66"/>
      <c r="S42" s="66"/>
      <c r="T42" s="161">
        <f>SUM(Q42:S42)</f>
        <v>0</v>
      </c>
      <c r="U42" s="157"/>
      <c r="V42" s="158"/>
      <c r="W42" s="159"/>
      <c r="X42" s="159"/>
      <c r="Y42" s="157"/>
    </row>
    <row r="43" spans="1:25" customHeight="1" ht="36">
      <c r="A43" s="68" t="s">
        <v>783</v>
      </c>
      <c r="B43" s="69">
        <f>SUM(B44:B45)-B46</f>
        <v>0</v>
      </c>
      <c r="C43" s="69">
        <f>SUM(C44:C45)-C46</f>
        <v>0</v>
      </c>
      <c r="D43" s="69">
        <f>SUM(D44:D45)-D46</f>
        <v>0</v>
      </c>
      <c r="E43" s="161">
        <f>SUM(B43:D43)</f>
        <v>0</v>
      </c>
      <c r="F43" s="157"/>
      <c r="G43" s="158"/>
      <c r="H43" s="159"/>
      <c r="I43" s="159"/>
      <c r="J43" s="159"/>
      <c r="K43" s="157"/>
      <c r="L43" s="160" t="s">
        <v>784</v>
      </c>
      <c r="M43" s="159"/>
      <c r="N43" s="159"/>
      <c r="O43" s="159"/>
      <c r="P43" s="157"/>
      <c r="Q43" s="66"/>
      <c r="R43" s="66"/>
      <c r="S43" s="66"/>
      <c r="T43" s="161">
        <f>SUM(Q43:S43)</f>
        <v>0</v>
      </c>
      <c r="U43" s="157"/>
      <c r="V43" s="158"/>
      <c r="W43" s="159"/>
      <c r="X43" s="159"/>
      <c r="Y43" s="157"/>
    </row>
    <row r="44" spans="1:25" customHeight="1" ht="36">
      <c r="A44" s="70" t="s">
        <v>785</v>
      </c>
      <c r="B44" s="66"/>
      <c r="C44" s="66"/>
      <c r="D44" s="66"/>
      <c r="E44" s="161">
        <f>SUM(B44:D44)</f>
        <v>0</v>
      </c>
      <c r="F44" s="157"/>
      <c r="G44" s="158"/>
      <c r="H44" s="159"/>
      <c r="I44" s="159"/>
      <c r="J44" s="159"/>
      <c r="K44" s="157"/>
      <c r="L44" s="160" t="s">
        <v>786</v>
      </c>
      <c r="M44" s="159"/>
      <c r="N44" s="159"/>
      <c r="O44" s="159"/>
      <c r="P44" s="157"/>
      <c r="Q44" s="66"/>
      <c r="R44" s="66"/>
      <c r="S44" s="66"/>
      <c r="T44" s="161">
        <f>SUM(Q44:S44)</f>
        <v>0</v>
      </c>
      <c r="U44" s="157"/>
      <c r="V44" s="158"/>
      <c r="W44" s="159"/>
      <c r="X44" s="159"/>
      <c r="Y44" s="157"/>
    </row>
    <row r="45" spans="1:25" customHeight="1" ht="24">
      <c r="A45" s="70" t="s">
        <v>787</v>
      </c>
      <c r="B45" s="66"/>
      <c r="C45" s="66"/>
      <c r="D45" s="66"/>
      <c r="E45" s="161">
        <f>SUM(B45:D45)</f>
        <v>0</v>
      </c>
      <c r="F45" s="157"/>
      <c r="G45" s="158"/>
      <c r="H45" s="159"/>
      <c r="I45" s="159"/>
      <c r="J45" s="159"/>
      <c r="K45" s="157"/>
      <c r="L45" s="160" t="s">
        <v>788</v>
      </c>
      <c r="M45" s="159"/>
      <c r="N45" s="159"/>
      <c r="O45" s="159"/>
      <c r="P45" s="157"/>
      <c r="Q45" s="66"/>
      <c r="R45" s="66"/>
      <c r="S45" s="66"/>
      <c r="T45" s="161">
        <f>SUM(Q45:S45)</f>
        <v>0</v>
      </c>
      <c r="U45" s="157"/>
      <c r="V45" s="158"/>
      <c r="W45" s="159"/>
      <c r="X45" s="159"/>
      <c r="Y45" s="157"/>
    </row>
    <row r="46" spans="1:25" customHeight="1" ht="24">
      <c r="A46" s="70" t="s">
        <v>789</v>
      </c>
      <c r="B46" s="66"/>
      <c r="C46" s="66"/>
      <c r="D46" s="66"/>
      <c r="E46" s="161">
        <f>SUM(B46:D46)</f>
        <v>0</v>
      </c>
      <c r="F46" s="157"/>
      <c r="G46" s="158"/>
      <c r="H46" s="159"/>
      <c r="I46" s="159"/>
      <c r="J46" s="159"/>
      <c r="K46" s="157"/>
      <c r="L46" s="160" t="s">
        <v>790</v>
      </c>
      <c r="M46" s="159"/>
      <c r="N46" s="159"/>
      <c r="O46" s="159"/>
      <c r="P46" s="157"/>
      <c r="Q46" s="66"/>
      <c r="R46" s="66"/>
      <c r="S46" s="66"/>
      <c r="T46" s="161">
        <f>SUM(Q46:S46)</f>
        <v>0</v>
      </c>
      <c r="U46" s="157"/>
      <c r="V46" s="158"/>
      <c r="W46" s="159"/>
      <c r="X46" s="159"/>
      <c r="Y46" s="157"/>
    </row>
    <row r="47" spans="1:25" customHeight="1" ht="36">
      <c r="A47" s="70" t="s">
        <v>791</v>
      </c>
      <c r="B47" s="66"/>
      <c r="C47" s="66"/>
      <c r="D47" s="66"/>
      <c r="E47" s="161">
        <f>SUM(B47:D47)</f>
        <v>0</v>
      </c>
      <c r="F47" s="157"/>
      <c r="G47" s="158"/>
      <c r="H47" s="159"/>
      <c r="I47" s="159"/>
      <c r="J47" s="159"/>
      <c r="K47" s="157"/>
      <c r="L47" s="160" t="s">
        <v>792</v>
      </c>
      <c r="M47" s="159"/>
      <c r="N47" s="159"/>
      <c r="O47" s="159"/>
      <c r="P47" s="157"/>
      <c r="Q47" s="66"/>
      <c r="R47" s="66"/>
      <c r="S47" s="66"/>
      <c r="T47" s="161">
        <f>SUM(Q47:S47)</f>
        <v>0</v>
      </c>
      <c r="U47" s="157"/>
      <c r="V47" s="158"/>
      <c r="W47" s="159"/>
      <c r="X47" s="159"/>
      <c r="Y47" s="157"/>
    </row>
    <row r="48" spans="1:25" customHeight="1" ht="36">
      <c r="A48" s="70" t="s">
        <v>793</v>
      </c>
      <c r="B48" s="66"/>
      <c r="C48" s="66"/>
      <c r="D48" s="66"/>
      <c r="E48" s="161">
        <f>SUM(B48:D48)</f>
        <v>0</v>
      </c>
      <c r="F48" s="157"/>
      <c r="G48" s="158"/>
      <c r="H48" s="159"/>
      <c r="I48" s="159"/>
      <c r="J48" s="159"/>
      <c r="K48" s="157"/>
      <c r="L48" s="160" t="s">
        <v>794</v>
      </c>
      <c r="M48" s="159"/>
      <c r="N48" s="159"/>
      <c r="O48" s="159"/>
      <c r="P48" s="157"/>
      <c r="Q48" s="66"/>
      <c r="R48" s="66"/>
      <c r="S48" s="66"/>
      <c r="T48" s="161">
        <f>SUM(Q48:S48)</f>
        <v>0</v>
      </c>
      <c r="U48" s="157"/>
      <c r="V48" s="158"/>
      <c r="W48" s="159"/>
      <c r="X48" s="159"/>
      <c r="Y48" s="157"/>
    </row>
    <row r="49" spans="1:25" customHeight="1" ht="36">
      <c r="A49" s="70" t="s">
        <v>795</v>
      </c>
      <c r="B49" s="66"/>
      <c r="C49" s="66"/>
      <c r="D49" s="66"/>
      <c r="E49" s="161">
        <f>SUM(B49:D49)</f>
        <v>0</v>
      </c>
      <c r="F49" s="157"/>
      <c r="G49" s="163"/>
      <c r="H49" s="164"/>
      <c r="I49" s="164"/>
      <c r="J49" s="164"/>
      <c r="K49" s="165"/>
      <c r="L49" s="166" t="s">
        <v>796</v>
      </c>
      <c r="M49" s="164"/>
      <c r="N49" s="164"/>
      <c r="O49" s="164"/>
      <c r="P49" s="165"/>
      <c r="Q49" s="75">
        <v>8.0</v>
      </c>
      <c r="R49" s="75">
        <v>8.0</v>
      </c>
      <c r="S49" s="75">
        <v>9.0</v>
      </c>
      <c r="T49" s="167">
        <f>SUM(Q49:S49)</f>
        <v>25</v>
      </c>
      <c r="U49" s="165"/>
      <c r="V49" s="163"/>
      <c r="W49" s="164"/>
      <c r="X49" s="164"/>
      <c r="Y49" s="165"/>
    </row>
    <row r="50" spans="1:25" customHeight="1" ht="24">
      <c r="A50" s="77" t="s">
        <v>797</v>
      </c>
      <c r="B50" s="75"/>
      <c r="C50" s="75"/>
      <c r="D50" s="75"/>
      <c r="E50" s="76"/>
      <c r="F50" s="73"/>
      <c r="G50" s="71"/>
      <c r="H50" s="72"/>
      <c r="I50" s="72"/>
      <c r="J50" s="72"/>
      <c r="K50" s="73"/>
      <c r="L50" s="74"/>
      <c r="M50" s="72"/>
      <c r="N50" s="72"/>
      <c r="O50" s="72"/>
      <c r="P50" s="72"/>
      <c r="Q50" s="78"/>
      <c r="R50" s="78"/>
      <c r="S50" s="78"/>
      <c r="T50" s="79"/>
      <c r="U50" s="72"/>
      <c r="V50" s="78"/>
      <c r="W50" s="72"/>
      <c r="X50" s="72"/>
      <c r="Y50" s="73"/>
    </row>
    <row r="51" spans="1:25" customHeight="1" ht="48">
      <c r="A51" s="77" t="s">
        <v>798</v>
      </c>
      <c r="B51" s="75"/>
      <c r="C51" s="75"/>
      <c r="D51" s="75"/>
      <c r="E51" s="167">
        <f>SUM(B51:D51)</f>
        <v>0</v>
      </c>
      <c r="F51" s="165"/>
      <c r="G51" s="158"/>
      <c r="H51" s="159"/>
      <c r="I51" s="159"/>
      <c r="J51" s="159"/>
      <c r="K51" s="157"/>
      <c r="L51" s="158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7"/>
    </row>
    <row r="52" spans="1:25">
      <c r="A52" s="80"/>
      <c r="B52" s="62" t="s">
        <v>750</v>
      </c>
      <c r="C52" s="63" t="s">
        <v>751</v>
      </c>
      <c r="D52" s="63" t="s">
        <v>752</v>
      </c>
      <c r="E52" s="81"/>
      <c r="F52" s="82"/>
      <c r="G52" s="81"/>
      <c r="H52" s="83"/>
      <c r="I52" s="83"/>
      <c r="J52" s="83"/>
      <c r="K52" s="82"/>
      <c r="L52" s="81"/>
      <c r="M52" s="83"/>
      <c r="N52" s="83"/>
      <c r="O52" s="83"/>
      <c r="P52" s="82"/>
      <c r="Q52" s="62" t="s">
        <v>750</v>
      </c>
      <c r="R52" s="63" t="s">
        <v>751</v>
      </c>
      <c r="S52" s="63" t="s">
        <v>752</v>
      </c>
      <c r="T52" s="81"/>
      <c r="U52" s="82"/>
      <c r="V52" s="81"/>
      <c r="W52" s="83"/>
      <c r="X52" s="83"/>
      <c r="Y52" s="82"/>
    </row>
    <row r="53" spans="1:25">
      <c r="A53" s="153" t="s">
        <v>799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</row>
    <row r="54" spans="1:25">
      <c r="A54" s="70" t="s">
        <v>800</v>
      </c>
      <c r="B54" s="84"/>
      <c r="C54" s="84"/>
      <c r="D54" s="84"/>
      <c r="E54" s="161">
        <f>SUM(B54:D54)</f>
        <v>0</v>
      </c>
      <c r="F54" s="157"/>
      <c r="G54" s="158"/>
      <c r="H54" s="159"/>
      <c r="I54" s="159"/>
      <c r="J54" s="159"/>
      <c r="K54" s="157"/>
      <c r="L54" s="168" t="s">
        <v>801</v>
      </c>
      <c r="M54" s="159"/>
      <c r="N54" s="159"/>
      <c r="O54" s="159"/>
      <c r="P54" s="157"/>
      <c r="Q54" s="69">
        <f>SUM(Q55:Q56)</f>
        <v>0</v>
      </c>
      <c r="R54" s="69">
        <f>SUM(R55:R56)</f>
        <v>0</v>
      </c>
      <c r="S54" s="69">
        <f>SUM(S55:S56)</f>
        <v>0</v>
      </c>
      <c r="T54" s="161">
        <f>SUM(Q54:S54)</f>
        <v>0</v>
      </c>
      <c r="U54" s="157"/>
      <c r="V54" s="158"/>
      <c r="W54" s="159"/>
      <c r="X54" s="159"/>
      <c r="Y54" s="157"/>
    </row>
    <row r="55" spans="1:25">
      <c r="A55" s="70" t="s">
        <v>802</v>
      </c>
      <c r="B55" s="86">
        <f>SUM(B56:B58)</f>
        <v>7</v>
      </c>
      <c r="C55" s="86">
        <f>SUM(C56:C58)</f>
        <v>0</v>
      </c>
      <c r="D55" s="86">
        <f>SUM(D56:D58)</f>
        <v>3</v>
      </c>
      <c r="E55" s="161">
        <f>SUM(B55:D55)</f>
        <v>10</v>
      </c>
      <c r="F55" s="157"/>
      <c r="G55" s="158"/>
      <c r="H55" s="159"/>
      <c r="I55" s="159"/>
      <c r="J55" s="159"/>
      <c r="K55" s="157"/>
      <c r="L55" s="158" t="s">
        <v>803</v>
      </c>
      <c r="M55" s="159"/>
      <c r="N55" s="159"/>
      <c r="O55" s="159"/>
      <c r="P55" s="157"/>
      <c r="Q55" s="66"/>
      <c r="R55" s="66"/>
      <c r="S55" s="66"/>
      <c r="T55" s="161">
        <f>SUM(Q55:S55)</f>
        <v>0</v>
      </c>
      <c r="U55" s="157"/>
      <c r="V55" s="158"/>
      <c r="W55" s="159"/>
      <c r="X55" s="159"/>
      <c r="Y55" s="157"/>
    </row>
    <row r="56" spans="1:25">
      <c r="A56" s="70" t="s">
        <v>804</v>
      </c>
      <c r="B56" s="66"/>
      <c r="C56" s="66"/>
      <c r="D56" s="66"/>
      <c r="E56" s="161">
        <f>SUM(B56:D56)</f>
        <v>0</v>
      </c>
      <c r="F56" s="157"/>
      <c r="G56" s="158"/>
      <c r="H56" s="159"/>
      <c r="I56" s="159"/>
      <c r="J56" s="159"/>
      <c r="K56" s="157"/>
      <c r="L56" s="158" t="s">
        <v>805</v>
      </c>
      <c r="M56" s="159"/>
      <c r="N56" s="159"/>
      <c r="O56" s="159"/>
      <c r="P56" s="157"/>
      <c r="Q56" s="66"/>
      <c r="R56" s="66"/>
      <c r="S56" s="66"/>
      <c r="T56" s="161">
        <f>SUM(Q56:S56)</f>
        <v>0</v>
      </c>
      <c r="U56" s="157"/>
      <c r="V56" s="158"/>
      <c r="W56" s="159"/>
      <c r="X56" s="159"/>
      <c r="Y56" s="157"/>
    </row>
    <row r="57" spans="1:25">
      <c r="A57" s="70" t="s">
        <v>806</v>
      </c>
      <c r="B57" s="66"/>
      <c r="C57" s="66"/>
      <c r="D57" s="66"/>
      <c r="E57" s="161">
        <f>SUM(B57:D57)</f>
        <v>0</v>
      </c>
      <c r="F57" s="157"/>
      <c r="G57" s="158"/>
      <c r="H57" s="159"/>
      <c r="I57" s="159"/>
      <c r="J57" s="159"/>
      <c r="K57" s="157"/>
      <c r="L57" s="158" t="s">
        <v>807</v>
      </c>
      <c r="M57" s="159"/>
      <c r="N57" s="159"/>
      <c r="O57" s="159"/>
      <c r="P57" s="157"/>
      <c r="Q57" s="66"/>
      <c r="R57" s="66"/>
      <c r="S57" s="66"/>
      <c r="T57" s="161">
        <f>SUM(Q57:S57)</f>
        <v>0</v>
      </c>
      <c r="U57" s="157"/>
      <c r="V57" s="158"/>
      <c r="W57" s="159"/>
      <c r="X57" s="159"/>
      <c r="Y57" s="157"/>
    </row>
    <row r="58" spans="1:25">
      <c r="A58" s="70" t="s">
        <v>808</v>
      </c>
      <c r="B58" s="66">
        <v>7.0</v>
      </c>
      <c r="C58" s="66">
        <v>0.0</v>
      </c>
      <c r="D58" s="66">
        <v>3.0</v>
      </c>
      <c r="E58" s="161">
        <f>SUM(B58:D58)</f>
        <v>10</v>
      </c>
      <c r="F58" s="157"/>
      <c r="G58" s="158"/>
      <c r="H58" s="159"/>
      <c r="I58" s="159"/>
      <c r="J58" s="159"/>
      <c r="K58" s="157"/>
      <c r="L58" s="158" t="s">
        <v>809</v>
      </c>
      <c r="M58" s="159"/>
      <c r="N58" s="159"/>
      <c r="O58" s="159"/>
      <c r="P58" s="157"/>
      <c r="Q58" s="66"/>
      <c r="R58" s="66"/>
      <c r="S58" s="66"/>
      <c r="T58" s="161">
        <f>SUM(Q58:S58)</f>
        <v>0</v>
      </c>
      <c r="U58" s="157"/>
      <c r="V58" s="158"/>
      <c r="W58" s="159"/>
      <c r="X58" s="159"/>
      <c r="Y58" s="157"/>
    </row>
    <row r="59" spans="1:25">
      <c r="A59" s="169" t="s">
        <v>810</v>
      </c>
      <c r="B59" s="171">
        <f>SUM(B61,B62,B63)</f>
        <v>0</v>
      </c>
      <c r="C59" s="171">
        <f>SUM(C61,C62,C63)</f>
        <v>0</v>
      </c>
      <c r="D59" s="171">
        <f>SUM(D61,D62,D63)</f>
        <v>0</v>
      </c>
      <c r="E59" s="167">
        <f>SUM(B59:D59)</f>
        <v>0</v>
      </c>
      <c r="F59" s="165"/>
      <c r="G59" s="163"/>
      <c r="H59" s="164"/>
      <c r="I59" s="164"/>
      <c r="J59" s="164"/>
      <c r="K59" s="165"/>
      <c r="L59" s="158" t="s">
        <v>811</v>
      </c>
      <c r="M59" s="159"/>
      <c r="N59" s="159"/>
      <c r="O59" s="159"/>
      <c r="P59" s="157"/>
      <c r="Q59" s="66"/>
      <c r="R59" s="66"/>
      <c r="S59" s="66"/>
      <c r="T59" s="161">
        <f>SUM(Q59:S59)</f>
        <v>0</v>
      </c>
      <c r="U59" s="157"/>
      <c r="V59" s="158"/>
      <c r="W59" s="159"/>
      <c r="X59" s="159"/>
      <c r="Y59" s="157"/>
    </row>
    <row r="60" spans="1:25">
      <c r="A60" s="170"/>
      <c r="B60" s="170"/>
      <c r="C60" s="170"/>
      <c r="D60" s="170"/>
      <c r="E60" s="172"/>
      <c r="F60" s="155"/>
      <c r="G60" s="172"/>
      <c r="H60" s="154"/>
      <c r="I60" s="154"/>
      <c r="J60" s="154"/>
      <c r="K60" s="155"/>
      <c r="L60" s="158" t="s">
        <v>812</v>
      </c>
      <c r="M60" s="159"/>
      <c r="N60" s="159"/>
      <c r="O60" s="159"/>
      <c r="P60" s="157"/>
      <c r="Q60" s="66"/>
      <c r="R60" s="66"/>
      <c r="S60" s="66"/>
      <c r="T60" s="161">
        <f>SUM(Q60:S60)</f>
        <v>0</v>
      </c>
      <c r="U60" s="157"/>
      <c r="V60" s="158"/>
      <c r="W60" s="159"/>
      <c r="X60" s="159"/>
      <c r="Y60" s="157"/>
    </row>
    <row r="61" spans="1:25">
      <c r="A61" s="70" t="s">
        <v>813</v>
      </c>
      <c r="B61" s="66"/>
      <c r="C61" s="66"/>
      <c r="D61" s="66"/>
      <c r="E61" s="161">
        <f>SUM(B61:D61)</f>
        <v>0</v>
      </c>
      <c r="F61" s="157"/>
      <c r="G61" s="158"/>
      <c r="H61" s="159"/>
      <c r="I61" s="159"/>
      <c r="J61" s="159"/>
      <c r="K61" s="157"/>
      <c r="L61" s="158" t="s">
        <v>814</v>
      </c>
      <c r="M61" s="159"/>
      <c r="N61" s="159"/>
      <c r="O61" s="159"/>
      <c r="P61" s="157"/>
      <c r="Q61" s="66"/>
      <c r="R61" s="66"/>
      <c r="S61" s="66"/>
      <c r="T61" s="161">
        <f>SUM(Q61:S61)</f>
        <v>0</v>
      </c>
      <c r="U61" s="157"/>
      <c r="V61" s="158"/>
      <c r="W61" s="159"/>
      <c r="X61" s="159"/>
      <c r="Y61" s="157"/>
    </row>
    <row r="62" spans="1:25">
      <c r="A62" s="70" t="s">
        <v>815</v>
      </c>
      <c r="B62" s="66"/>
      <c r="C62" s="66"/>
      <c r="D62" s="66"/>
      <c r="E62" s="161">
        <f>SUM(B62:D62)</f>
        <v>0</v>
      </c>
      <c r="F62" s="157"/>
      <c r="G62" s="158"/>
      <c r="H62" s="159"/>
      <c r="I62" s="159"/>
      <c r="J62" s="159"/>
      <c r="K62" s="157"/>
      <c r="L62" s="158" t="s">
        <v>816</v>
      </c>
      <c r="M62" s="159"/>
      <c r="N62" s="159"/>
      <c r="O62" s="159"/>
      <c r="P62" s="157"/>
      <c r="Q62" s="66">
        <v>1.0</v>
      </c>
      <c r="R62" s="66">
        <v>1.0</v>
      </c>
      <c r="S62" s="66">
        <v>1.0</v>
      </c>
      <c r="T62" s="161">
        <f>SUM(Q62:S62)</f>
        <v>3</v>
      </c>
      <c r="U62" s="157"/>
      <c r="V62" s="158"/>
      <c r="W62" s="159"/>
      <c r="X62" s="159"/>
      <c r="Y62" s="157"/>
    </row>
    <row r="63" spans="1:25">
      <c r="A63" s="77" t="s">
        <v>817</v>
      </c>
      <c r="B63" s="75"/>
      <c r="C63" s="75"/>
      <c r="D63" s="75"/>
      <c r="E63" s="167">
        <f>SUM(B63:D63)</f>
        <v>0</v>
      </c>
      <c r="F63" s="165"/>
      <c r="G63" s="163"/>
      <c r="H63" s="164"/>
      <c r="I63" s="164"/>
      <c r="J63" s="164"/>
      <c r="K63" s="165"/>
      <c r="L63" s="163" t="s">
        <v>818</v>
      </c>
      <c r="M63" s="164"/>
      <c r="N63" s="164"/>
      <c r="O63" s="164"/>
      <c r="P63" s="165"/>
      <c r="Q63" s="75"/>
      <c r="R63" s="75"/>
      <c r="S63" s="75"/>
      <c r="T63" s="167">
        <f>SUM(Q63:S63)</f>
        <v>0</v>
      </c>
      <c r="U63" s="165"/>
      <c r="V63" s="163"/>
      <c r="W63" s="164"/>
      <c r="X63" s="164"/>
      <c r="Y63" s="165"/>
    </row>
    <row r="64" spans="1:25">
      <c r="A64" s="148" t="s">
        <v>773</v>
      </c>
      <c r="B64" s="133" t="s">
        <v>734</v>
      </c>
      <c r="C64" s="134"/>
      <c r="D64" s="135"/>
      <c r="E64" s="127" t="s">
        <v>749</v>
      </c>
      <c r="F64" s="129"/>
      <c r="G64" s="152" t="s">
        <v>736</v>
      </c>
      <c r="H64" s="128"/>
      <c r="I64" s="128"/>
      <c r="J64" s="128"/>
      <c r="K64" s="129"/>
      <c r="L64" s="152" t="s">
        <v>773</v>
      </c>
      <c r="M64" s="128"/>
      <c r="N64" s="128"/>
      <c r="O64" s="128"/>
      <c r="P64" s="129"/>
      <c r="Q64" s="133" t="s">
        <v>734</v>
      </c>
      <c r="R64" s="134"/>
      <c r="S64" s="135"/>
      <c r="T64" s="127" t="s">
        <v>749</v>
      </c>
      <c r="U64" s="129"/>
      <c r="V64" s="152" t="s">
        <v>736</v>
      </c>
      <c r="W64" s="128"/>
      <c r="X64" s="128"/>
      <c r="Y64" s="129"/>
    </row>
    <row r="65" spans="1:25">
      <c r="A65" s="137"/>
      <c r="B65" s="62" t="s">
        <v>750</v>
      </c>
      <c r="C65" s="63" t="s">
        <v>751</v>
      </c>
      <c r="D65" s="63" t="s">
        <v>752</v>
      </c>
      <c r="E65" s="130"/>
      <c r="F65" s="132"/>
      <c r="G65" s="130"/>
      <c r="H65" s="131"/>
      <c r="I65" s="131"/>
      <c r="J65" s="131"/>
      <c r="K65" s="132"/>
      <c r="L65" s="130"/>
      <c r="M65" s="131"/>
      <c r="N65" s="131"/>
      <c r="O65" s="131"/>
      <c r="P65" s="132"/>
      <c r="Q65" s="62" t="s">
        <v>750</v>
      </c>
      <c r="R65" s="63" t="s">
        <v>751</v>
      </c>
      <c r="S65" s="63" t="s">
        <v>752</v>
      </c>
      <c r="T65" s="130"/>
      <c r="U65" s="132"/>
      <c r="V65" s="130"/>
      <c r="W65" s="131"/>
      <c r="X65" s="131"/>
      <c r="Y65" s="132"/>
    </row>
    <row r="66" spans="1:25">
      <c r="A66" s="153" t="s">
        <v>819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customHeight="1" ht="60">
      <c r="A67" s="70" t="s">
        <v>820</v>
      </c>
      <c r="B67" s="66"/>
      <c r="C67" s="66"/>
      <c r="D67" s="66"/>
      <c r="E67" s="161">
        <f>SUM(B67:D67)</f>
        <v>0</v>
      </c>
      <c r="F67" s="157"/>
      <c r="G67" s="158"/>
      <c r="H67" s="159"/>
      <c r="I67" s="159"/>
      <c r="J67" s="159"/>
      <c r="K67" s="157"/>
      <c r="L67" s="160" t="s">
        <v>821</v>
      </c>
      <c r="M67" s="159"/>
      <c r="N67" s="159"/>
      <c r="O67" s="159"/>
      <c r="P67" s="157"/>
      <c r="Q67" s="66"/>
      <c r="R67" s="66"/>
      <c r="S67" s="66"/>
      <c r="T67" s="161">
        <f>SUM(Q67:S67)</f>
        <v>0</v>
      </c>
      <c r="U67" s="157"/>
      <c r="V67" s="158"/>
      <c r="W67" s="159"/>
      <c r="X67" s="159"/>
      <c r="Y67" s="157"/>
    </row>
    <row r="68" spans="1:25" customHeight="1" ht="36">
      <c r="A68" s="87" t="s">
        <v>822</v>
      </c>
      <c r="B68" s="88">
        <f>SUM(B69:B70)</f>
        <v>0</v>
      </c>
      <c r="C68" s="88">
        <f>SUM(C69:C70)</f>
        <v>0</v>
      </c>
      <c r="D68" s="88">
        <f>SUM(D69:D70)</f>
        <v>0</v>
      </c>
      <c r="E68" s="161">
        <f>SUM(B68:D68)</f>
        <v>0</v>
      </c>
      <c r="F68" s="157"/>
      <c r="G68" s="158"/>
      <c r="H68" s="159"/>
      <c r="I68" s="159"/>
      <c r="J68" s="159"/>
      <c r="K68" s="157"/>
      <c r="L68" s="160" t="s">
        <v>823</v>
      </c>
      <c r="M68" s="159"/>
      <c r="N68" s="159"/>
      <c r="O68" s="159"/>
      <c r="P68" s="157"/>
      <c r="Q68" s="66">
        <v>0.0</v>
      </c>
      <c r="R68" s="66">
        <v>9.0</v>
      </c>
      <c r="S68" s="66">
        <v>0.0</v>
      </c>
      <c r="T68" s="161">
        <f>SUM(Q68:S68)</f>
        <v>9</v>
      </c>
      <c r="U68" s="157"/>
      <c r="V68" s="158"/>
      <c r="W68" s="159"/>
      <c r="X68" s="159"/>
      <c r="Y68" s="157"/>
    </row>
    <row r="69" spans="1:25" customHeight="1" ht="36">
      <c r="A69" s="70" t="s">
        <v>824</v>
      </c>
      <c r="B69" s="66"/>
      <c r="C69" s="66"/>
      <c r="D69" s="66"/>
      <c r="E69" s="161">
        <f>SUM(B69:D69)</f>
        <v>0</v>
      </c>
      <c r="F69" s="157"/>
      <c r="G69" s="158"/>
      <c r="H69" s="159"/>
      <c r="I69" s="159"/>
      <c r="J69" s="159"/>
      <c r="K69" s="157"/>
      <c r="L69" s="173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5"/>
    </row>
    <row r="70" spans="1:25" customHeight="1" ht="36">
      <c r="A70" s="70" t="s">
        <v>825</v>
      </c>
      <c r="B70" s="66"/>
      <c r="C70" s="66"/>
      <c r="D70" s="66"/>
      <c r="E70" s="161">
        <f>SUM(B70:D70)</f>
        <v>0</v>
      </c>
      <c r="F70" s="157"/>
      <c r="G70" s="158"/>
      <c r="H70" s="159"/>
      <c r="I70" s="159"/>
      <c r="J70" s="159"/>
      <c r="K70" s="157"/>
      <c r="L70" s="174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4"/>
    </row>
    <row r="71" spans="1:25" customHeight="1" ht="36">
      <c r="A71" s="68" t="s">
        <v>826</v>
      </c>
      <c r="B71" s="69">
        <f>SUM(B72:B73)-B74</f>
        <v>1</v>
      </c>
      <c r="C71" s="69">
        <f>SUM(C72:C73)-C74</f>
        <v>4</v>
      </c>
      <c r="D71" s="69">
        <f>SUM(D72:D73)-D74</f>
        <v>3</v>
      </c>
      <c r="E71" s="161">
        <f>SUM(B71:D71)</f>
        <v>8</v>
      </c>
      <c r="F71" s="157"/>
      <c r="G71" s="158"/>
      <c r="H71" s="159"/>
      <c r="I71" s="159"/>
      <c r="J71" s="159"/>
      <c r="K71" s="157"/>
      <c r="L71" s="174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4"/>
    </row>
    <row r="72" spans="1:25" customHeight="1" ht="36">
      <c r="A72" s="70" t="s">
        <v>827</v>
      </c>
      <c r="B72" s="66"/>
      <c r="C72" s="66"/>
      <c r="D72" s="66"/>
      <c r="E72" s="161">
        <f>SUM(B72:D72)</f>
        <v>0</v>
      </c>
      <c r="F72" s="157"/>
      <c r="G72" s="158"/>
      <c r="H72" s="159"/>
      <c r="I72" s="159"/>
      <c r="J72" s="159"/>
      <c r="K72" s="157"/>
      <c r="L72" s="174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4"/>
    </row>
    <row r="73" spans="1:25" customHeight="1" ht="24">
      <c r="A73" s="70" t="s">
        <v>787</v>
      </c>
      <c r="B73" s="75">
        <v>1.0</v>
      </c>
      <c r="C73" s="75">
        <v>4.0</v>
      </c>
      <c r="D73" s="75">
        <v>3.0</v>
      </c>
      <c r="E73" s="167">
        <f>SUM(B73:D73)</f>
        <v>8</v>
      </c>
      <c r="F73" s="165"/>
      <c r="G73" s="163"/>
      <c r="H73" s="164"/>
      <c r="I73" s="164"/>
      <c r="J73" s="164"/>
      <c r="K73" s="165"/>
      <c r="L73" s="174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4"/>
    </row>
    <row r="74" spans="1:25" customHeight="1" ht="24">
      <c r="A74" s="89" t="s">
        <v>828</v>
      </c>
      <c r="B74" s="90"/>
      <c r="C74" s="90"/>
      <c r="D74" s="90"/>
      <c r="E74" s="178">
        <f>SUM(B74:D74)</f>
        <v>0</v>
      </c>
      <c r="F74" s="179"/>
      <c r="G74" s="180"/>
      <c r="H74" s="181"/>
      <c r="I74" s="181"/>
      <c r="J74" s="181"/>
      <c r="K74" s="179"/>
      <c r="L74" s="175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7"/>
    </row>
    <row r="75" spans="1:25">
      <c r="A75" s="142" t="s">
        <v>829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5"/>
    </row>
    <row r="76" spans="1:25">
      <c r="A76" s="148" t="s">
        <v>773</v>
      </c>
      <c r="B76" s="133" t="s">
        <v>830</v>
      </c>
      <c r="C76" s="134"/>
      <c r="D76" s="135"/>
      <c r="E76" s="127" t="s">
        <v>736</v>
      </c>
      <c r="F76" s="128"/>
      <c r="G76" s="128"/>
      <c r="H76" s="128"/>
      <c r="I76" s="128"/>
      <c r="J76" s="128"/>
      <c r="K76" s="129"/>
      <c r="L76" s="152" t="s">
        <v>773</v>
      </c>
      <c r="M76" s="128"/>
      <c r="N76" s="128"/>
      <c r="O76" s="128"/>
      <c r="P76" s="129"/>
      <c r="Q76" s="133" t="s">
        <v>830</v>
      </c>
      <c r="R76" s="134"/>
      <c r="S76" s="135"/>
      <c r="T76" s="127" t="s">
        <v>736</v>
      </c>
      <c r="U76" s="128"/>
      <c r="V76" s="128"/>
      <c r="W76" s="128"/>
      <c r="X76" s="128"/>
      <c r="Y76" s="129"/>
    </row>
    <row r="77" spans="1:25">
      <c r="A77" s="137"/>
      <c r="B77" s="63" t="s">
        <v>831</v>
      </c>
      <c r="C77" s="63" t="s">
        <v>832</v>
      </c>
      <c r="D77" s="63" t="s">
        <v>833</v>
      </c>
      <c r="E77" s="130"/>
      <c r="F77" s="131"/>
      <c r="G77" s="131"/>
      <c r="H77" s="131"/>
      <c r="I77" s="131"/>
      <c r="J77" s="131"/>
      <c r="K77" s="132"/>
      <c r="L77" s="130"/>
      <c r="M77" s="131"/>
      <c r="N77" s="131"/>
      <c r="O77" s="131"/>
      <c r="P77" s="132"/>
      <c r="Q77" s="63" t="s">
        <v>831</v>
      </c>
      <c r="R77" s="63" t="s">
        <v>832</v>
      </c>
      <c r="S77" s="63" t="s">
        <v>833</v>
      </c>
      <c r="T77" s="130"/>
      <c r="U77" s="131"/>
      <c r="V77" s="131"/>
      <c r="W77" s="131"/>
      <c r="X77" s="131"/>
      <c r="Y77" s="132"/>
    </row>
    <row r="78" spans="1:25">
      <c r="A78" s="153" t="s">
        <v>834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>
      <c r="A79" s="183" t="s">
        <v>835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 customHeight="1" ht="24">
      <c r="A80" s="70" t="s">
        <v>836</v>
      </c>
      <c r="B80" s="66">
        <v>1.0</v>
      </c>
      <c r="C80" s="66">
        <v>2.0</v>
      </c>
      <c r="D80" s="88">
        <f>SUM(B80:C80)</f>
        <v>3</v>
      </c>
      <c r="E80" s="158"/>
      <c r="F80" s="159"/>
      <c r="G80" s="159"/>
      <c r="H80" s="159"/>
      <c r="I80" s="159"/>
      <c r="J80" s="159"/>
      <c r="K80" s="157"/>
      <c r="L80" s="184" t="s">
        <v>837</v>
      </c>
      <c r="M80" s="154"/>
      <c r="N80" s="154"/>
      <c r="O80" s="154"/>
      <c r="P80" s="154"/>
      <c r="Q80" s="66"/>
      <c r="R80" s="66"/>
      <c r="S80" s="88">
        <f>SUM(Q80:R80)</f>
        <v>0</v>
      </c>
      <c r="T80" s="158"/>
      <c r="U80" s="159"/>
      <c r="V80" s="159"/>
      <c r="W80" s="159"/>
      <c r="X80" s="159"/>
      <c r="Y80" s="157"/>
    </row>
    <row r="81" spans="1:25">
      <c r="A81" s="70" t="s">
        <v>838</v>
      </c>
      <c r="B81" s="66"/>
      <c r="C81" s="66"/>
      <c r="D81" s="88">
        <f>SUM(B81:C81)</f>
        <v>0</v>
      </c>
      <c r="E81" s="158"/>
      <c r="F81" s="159"/>
      <c r="G81" s="159"/>
      <c r="H81" s="159"/>
      <c r="I81" s="159"/>
      <c r="J81" s="159"/>
      <c r="K81" s="157"/>
      <c r="L81" s="160" t="s">
        <v>839</v>
      </c>
      <c r="M81" s="159"/>
      <c r="N81" s="159"/>
      <c r="O81" s="159"/>
      <c r="P81" s="157"/>
      <c r="Q81" s="66"/>
      <c r="R81" s="66"/>
      <c r="S81" s="88">
        <f>SUM(Q81:R81)</f>
        <v>0</v>
      </c>
      <c r="T81" s="158"/>
      <c r="U81" s="159"/>
      <c r="V81" s="159"/>
      <c r="W81" s="159"/>
      <c r="X81" s="159"/>
      <c r="Y81" s="157"/>
    </row>
    <row r="82" spans="1:25">
      <c r="A82" s="70" t="s">
        <v>840</v>
      </c>
      <c r="B82" s="66"/>
      <c r="C82" s="66"/>
      <c r="D82" s="88">
        <f>SUM(B82:C82)</f>
        <v>0</v>
      </c>
      <c r="E82" s="158"/>
      <c r="F82" s="159"/>
      <c r="G82" s="159"/>
      <c r="H82" s="159"/>
      <c r="I82" s="159"/>
      <c r="J82" s="159"/>
      <c r="K82" s="157"/>
      <c r="L82" s="182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spans="1:25">
      <c r="A83" s="148" t="s">
        <v>773</v>
      </c>
      <c r="B83" s="133" t="s">
        <v>830</v>
      </c>
      <c r="C83" s="134"/>
      <c r="D83" s="135"/>
      <c r="E83" s="127" t="s">
        <v>736</v>
      </c>
      <c r="F83" s="128"/>
      <c r="G83" s="128"/>
      <c r="H83" s="128"/>
      <c r="I83" s="128"/>
      <c r="J83" s="128"/>
      <c r="K83" s="129"/>
      <c r="L83" s="152" t="s">
        <v>773</v>
      </c>
      <c r="M83" s="128"/>
      <c r="N83" s="128"/>
      <c r="O83" s="128"/>
      <c r="P83" s="129"/>
      <c r="Q83" s="133" t="s">
        <v>830</v>
      </c>
      <c r="R83" s="134"/>
      <c r="S83" s="135"/>
      <c r="T83" s="127" t="s">
        <v>736</v>
      </c>
      <c r="U83" s="128"/>
      <c r="V83" s="128"/>
      <c r="W83" s="128"/>
      <c r="X83" s="128"/>
      <c r="Y83" s="129"/>
    </row>
    <row r="84" spans="1:25">
      <c r="A84" s="137"/>
      <c r="B84" s="63" t="s">
        <v>831</v>
      </c>
      <c r="C84" s="63" t="s">
        <v>832</v>
      </c>
      <c r="D84" s="63" t="s">
        <v>833</v>
      </c>
      <c r="E84" s="130"/>
      <c r="F84" s="131"/>
      <c r="G84" s="131"/>
      <c r="H84" s="131"/>
      <c r="I84" s="131"/>
      <c r="J84" s="131"/>
      <c r="K84" s="132"/>
      <c r="L84" s="130"/>
      <c r="M84" s="131"/>
      <c r="N84" s="131"/>
      <c r="O84" s="131"/>
      <c r="P84" s="132"/>
      <c r="Q84" s="63" t="s">
        <v>831</v>
      </c>
      <c r="R84" s="63" t="s">
        <v>832</v>
      </c>
      <c r="S84" s="63" t="s">
        <v>833</v>
      </c>
      <c r="T84" s="130"/>
      <c r="U84" s="131"/>
      <c r="V84" s="131"/>
      <c r="W84" s="131"/>
      <c r="X84" s="131"/>
      <c r="Y84" s="132"/>
    </row>
    <row r="85" spans="1:25">
      <c r="A85" s="183" t="s">
        <v>841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>
      <c r="A86" s="70" t="s">
        <v>842</v>
      </c>
      <c r="B86" s="66"/>
      <c r="C86" s="66"/>
      <c r="D86" s="88">
        <f>SUM(B86:C86)</f>
        <v>0</v>
      </c>
      <c r="E86" s="158"/>
      <c r="F86" s="159"/>
      <c r="G86" s="159"/>
      <c r="H86" s="159"/>
      <c r="I86" s="159"/>
      <c r="J86" s="159"/>
      <c r="K86" s="157"/>
      <c r="L86" s="160" t="s">
        <v>843</v>
      </c>
      <c r="M86" s="159"/>
      <c r="N86" s="159"/>
      <c r="O86" s="159"/>
      <c r="P86" s="157"/>
      <c r="Q86" s="66"/>
      <c r="R86" s="66"/>
      <c r="S86" s="88">
        <f>SUM(Q86:R86)</f>
        <v>0</v>
      </c>
      <c r="T86" s="158"/>
      <c r="U86" s="159"/>
      <c r="V86" s="159"/>
      <c r="W86" s="159"/>
      <c r="X86" s="159"/>
      <c r="Y86" s="157"/>
    </row>
    <row r="87" spans="1:25">
      <c r="A87" s="70" t="s">
        <v>844</v>
      </c>
      <c r="B87" s="66"/>
      <c r="C87" s="66"/>
      <c r="D87" s="88">
        <f>SUM(B87:C87)</f>
        <v>0</v>
      </c>
      <c r="E87" s="158"/>
      <c r="F87" s="159"/>
      <c r="G87" s="159"/>
      <c r="H87" s="159"/>
      <c r="I87" s="159"/>
      <c r="J87" s="159"/>
      <c r="K87" s="157"/>
      <c r="L87" s="160" t="s">
        <v>845</v>
      </c>
      <c r="M87" s="159"/>
      <c r="N87" s="159"/>
      <c r="O87" s="159"/>
      <c r="P87" s="157"/>
      <c r="Q87" s="66"/>
      <c r="R87" s="66"/>
      <c r="S87" s="88">
        <f>SUM(Q87:R87)</f>
        <v>0</v>
      </c>
      <c r="T87" s="158"/>
      <c r="U87" s="159"/>
      <c r="V87" s="159"/>
      <c r="W87" s="159"/>
      <c r="X87" s="159"/>
      <c r="Y87" s="157"/>
    </row>
    <row r="88" spans="1:25">
      <c r="A88" s="70" t="s">
        <v>846</v>
      </c>
      <c r="B88" s="66"/>
      <c r="C88" s="66"/>
      <c r="D88" s="88">
        <f>SUM(B88:C88)</f>
        <v>0</v>
      </c>
      <c r="E88" s="158"/>
      <c r="F88" s="159"/>
      <c r="G88" s="159"/>
      <c r="H88" s="159"/>
      <c r="I88" s="159"/>
      <c r="J88" s="159"/>
      <c r="K88" s="157"/>
      <c r="L88" s="160" t="s">
        <v>847</v>
      </c>
      <c r="M88" s="159"/>
      <c r="N88" s="159"/>
      <c r="O88" s="159"/>
      <c r="P88" s="157"/>
      <c r="Q88" s="66"/>
      <c r="R88" s="66"/>
      <c r="S88" s="88">
        <f>SUM(Q88:R88)</f>
        <v>0</v>
      </c>
      <c r="T88" s="158"/>
      <c r="U88" s="159"/>
      <c r="V88" s="159"/>
      <c r="W88" s="159"/>
      <c r="X88" s="159"/>
      <c r="Y88" s="157"/>
    </row>
    <row r="89" spans="1:25">
      <c r="A89" s="70" t="s">
        <v>848</v>
      </c>
      <c r="B89" s="66"/>
      <c r="C89" s="66"/>
      <c r="D89" s="88">
        <f>SUM(B89:C89)</f>
        <v>0</v>
      </c>
      <c r="E89" s="158"/>
      <c r="F89" s="159"/>
      <c r="G89" s="159"/>
      <c r="H89" s="159"/>
      <c r="I89" s="159"/>
      <c r="J89" s="159"/>
      <c r="K89" s="157"/>
      <c r="L89" s="160" t="s">
        <v>849</v>
      </c>
      <c r="M89" s="159"/>
      <c r="N89" s="159"/>
      <c r="O89" s="159"/>
      <c r="P89" s="157"/>
      <c r="Q89" s="66"/>
      <c r="R89" s="66"/>
      <c r="S89" s="88">
        <f>SUM(Q89:R89)</f>
        <v>0</v>
      </c>
      <c r="T89" s="158"/>
      <c r="U89" s="159"/>
      <c r="V89" s="159"/>
      <c r="W89" s="159"/>
      <c r="X89" s="159"/>
      <c r="Y89" s="157"/>
    </row>
    <row r="90" spans="1:25">
      <c r="A90" s="70" t="s">
        <v>850</v>
      </c>
      <c r="B90" s="66"/>
      <c r="C90" s="66"/>
      <c r="D90" s="88">
        <f>SUM(B90:C90)</f>
        <v>0</v>
      </c>
      <c r="E90" s="158"/>
      <c r="F90" s="159"/>
      <c r="G90" s="159"/>
      <c r="H90" s="159"/>
      <c r="I90" s="159"/>
      <c r="J90" s="159"/>
      <c r="K90" s="157"/>
      <c r="L90" s="160" t="s">
        <v>851</v>
      </c>
      <c r="M90" s="159"/>
      <c r="N90" s="159"/>
      <c r="O90" s="159"/>
      <c r="P90" s="157"/>
      <c r="Q90" s="66"/>
      <c r="R90" s="66"/>
      <c r="S90" s="88">
        <f>SUM(Q90:R90)</f>
        <v>0</v>
      </c>
      <c r="T90" s="158"/>
      <c r="U90" s="159"/>
      <c r="V90" s="159"/>
      <c r="W90" s="159"/>
      <c r="X90" s="159"/>
      <c r="Y90" s="157"/>
    </row>
    <row r="91" spans="1:25">
      <c r="A91" s="70" t="s">
        <v>852</v>
      </c>
      <c r="B91" s="66"/>
      <c r="C91" s="66"/>
      <c r="D91" s="88">
        <f>SUM(B91:C91)</f>
        <v>0</v>
      </c>
      <c r="E91" s="158"/>
      <c r="F91" s="159"/>
      <c r="G91" s="159"/>
      <c r="H91" s="159"/>
      <c r="I91" s="159"/>
      <c r="J91" s="159"/>
      <c r="K91" s="157"/>
      <c r="L91" s="160" t="s">
        <v>853</v>
      </c>
      <c r="M91" s="159"/>
      <c r="N91" s="159"/>
      <c r="O91" s="159"/>
      <c r="P91" s="157"/>
      <c r="Q91" s="66"/>
      <c r="R91" s="66"/>
      <c r="S91" s="88">
        <f>SUM(Q91:R91)</f>
        <v>0</v>
      </c>
      <c r="T91" s="158"/>
      <c r="U91" s="159"/>
      <c r="V91" s="159"/>
      <c r="W91" s="159"/>
      <c r="X91" s="159"/>
      <c r="Y91" s="157"/>
    </row>
    <row r="92" spans="1:25">
      <c r="A92" s="70" t="s">
        <v>854</v>
      </c>
      <c r="B92" s="66"/>
      <c r="C92" s="66"/>
      <c r="D92" s="88">
        <f>SUM(B92:C92)</f>
        <v>0</v>
      </c>
      <c r="E92" s="158"/>
      <c r="F92" s="159"/>
      <c r="G92" s="159"/>
      <c r="H92" s="159"/>
      <c r="I92" s="159"/>
      <c r="J92" s="159"/>
      <c r="K92" s="157"/>
      <c r="L92" s="160" t="s">
        <v>855</v>
      </c>
      <c r="M92" s="159"/>
      <c r="N92" s="159"/>
      <c r="O92" s="159"/>
      <c r="P92" s="157"/>
      <c r="Q92" s="66"/>
      <c r="R92" s="66"/>
      <c r="S92" s="88">
        <f>SUM(Q92:R92)</f>
        <v>0</v>
      </c>
      <c r="T92" s="158"/>
      <c r="U92" s="159"/>
      <c r="V92" s="159"/>
      <c r="W92" s="159"/>
      <c r="X92" s="159"/>
      <c r="Y92" s="157"/>
    </row>
    <row r="93" spans="1:25">
      <c r="A93" s="183" t="s">
        <v>856</v>
      </c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>
      <c r="A94" s="70" t="s">
        <v>842</v>
      </c>
      <c r="B94" s="66">
        <v>2.0</v>
      </c>
      <c r="C94" s="66">
        <v>2.0</v>
      </c>
      <c r="D94" s="88">
        <f>SUM(B94:C94)</f>
        <v>4</v>
      </c>
      <c r="E94" s="158"/>
      <c r="F94" s="159"/>
      <c r="G94" s="159"/>
      <c r="H94" s="159"/>
      <c r="I94" s="159"/>
      <c r="J94" s="159"/>
      <c r="K94" s="157"/>
      <c r="L94" s="160" t="s">
        <v>843</v>
      </c>
      <c r="M94" s="159"/>
      <c r="N94" s="159"/>
      <c r="O94" s="159"/>
      <c r="P94" s="157"/>
      <c r="Q94" s="66"/>
      <c r="R94" s="66"/>
      <c r="S94" s="88">
        <f>SUM(Q94:R94)</f>
        <v>0</v>
      </c>
      <c r="T94" s="158"/>
      <c r="U94" s="159"/>
      <c r="V94" s="159"/>
      <c r="W94" s="159"/>
      <c r="X94" s="159"/>
      <c r="Y94" s="157"/>
    </row>
    <row r="95" spans="1:25">
      <c r="A95" s="70" t="s">
        <v>844</v>
      </c>
      <c r="B95" s="66"/>
      <c r="C95" s="66"/>
      <c r="D95" s="88">
        <f>SUM(B95:C95)</f>
        <v>0</v>
      </c>
      <c r="E95" s="158"/>
      <c r="F95" s="159"/>
      <c r="G95" s="159"/>
      <c r="H95" s="159"/>
      <c r="I95" s="159"/>
      <c r="J95" s="159"/>
      <c r="K95" s="157"/>
      <c r="L95" s="160" t="s">
        <v>845</v>
      </c>
      <c r="M95" s="159"/>
      <c r="N95" s="159"/>
      <c r="O95" s="159"/>
      <c r="P95" s="157"/>
      <c r="Q95" s="66"/>
      <c r="R95" s="66"/>
      <c r="S95" s="88">
        <f>SUM(Q95:R95)</f>
        <v>0</v>
      </c>
      <c r="T95" s="158"/>
      <c r="U95" s="159"/>
      <c r="V95" s="159"/>
      <c r="W95" s="159"/>
      <c r="X95" s="159"/>
      <c r="Y95" s="157"/>
    </row>
    <row r="96" spans="1:25">
      <c r="A96" s="70" t="s">
        <v>846</v>
      </c>
      <c r="B96" s="66"/>
      <c r="C96" s="66"/>
      <c r="D96" s="88">
        <f>SUM(B96:C96)</f>
        <v>0</v>
      </c>
      <c r="E96" s="158"/>
      <c r="F96" s="159"/>
      <c r="G96" s="159"/>
      <c r="H96" s="159"/>
      <c r="I96" s="159"/>
      <c r="J96" s="159"/>
      <c r="K96" s="157"/>
      <c r="L96" s="160" t="s">
        <v>847</v>
      </c>
      <c r="M96" s="159"/>
      <c r="N96" s="159"/>
      <c r="O96" s="159"/>
      <c r="P96" s="157"/>
      <c r="Q96" s="66"/>
      <c r="R96" s="66"/>
      <c r="S96" s="88">
        <f>SUM(Q96:R96)</f>
        <v>0</v>
      </c>
      <c r="T96" s="158"/>
      <c r="U96" s="159"/>
      <c r="V96" s="159"/>
      <c r="W96" s="159"/>
      <c r="X96" s="159"/>
      <c r="Y96" s="157"/>
    </row>
    <row r="97" spans="1:25">
      <c r="A97" s="70" t="s">
        <v>848</v>
      </c>
      <c r="B97" s="66"/>
      <c r="C97" s="66"/>
      <c r="D97" s="88">
        <f>SUM(B97:C97)</f>
        <v>0</v>
      </c>
      <c r="E97" s="158"/>
      <c r="F97" s="159"/>
      <c r="G97" s="159"/>
      <c r="H97" s="159"/>
      <c r="I97" s="159"/>
      <c r="J97" s="159"/>
      <c r="K97" s="157"/>
      <c r="L97" s="160" t="s">
        <v>849</v>
      </c>
      <c r="M97" s="159"/>
      <c r="N97" s="159"/>
      <c r="O97" s="159"/>
      <c r="P97" s="157"/>
      <c r="Q97" s="66"/>
      <c r="R97" s="66"/>
      <c r="S97" s="88">
        <f>SUM(Q97:R97)</f>
        <v>0</v>
      </c>
      <c r="T97" s="158"/>
      <c r="U97" s="159"/>
      <c r="V97" s="159"/>
      <c r="W97" s="159"/>
      <c r="X97" s="159"/>
      <c r="Y97" s="157"/>
    </row>
    <row r="98" spans="1:25">
      <c r="A98" s="70" t="s">
        <v>850</v>
      </c>
      <c r="B98" s="66"/>
      <c r="C98" s="66"/>
      <c r="D98" s="88">
        <f>SUM(B98:C98)</f>
        <v>0</v>
      </c>
      <c r="E98" s="158"/>
      <c r="F98" s="159"/>
      <c r="G98" s="159"/>
      <c r="H98" s="159"/>
      <c r="I98" s="159"/>
      <c r="J98" s="159"/>
      <c r="K98" s="157"/>
      <c r="L98" s="160" t="s">
        <v>851</v>
      </c>
      <c r="M98" s="159"/>
      <c r="N98" s="159"/>
      <c r="O98" s="159"/>
      <c r="P98" s="157"/>
      <c r="Q98" s="66"/>
      <c r="R98" s="66"/>
      <c r="S98" s="88">
        <f>SUM(Q98:R98)</f>
        <v>0</v>
      </c>
      <c r="T98" s="158"/>
      <c r="U98" s="159"/>
      <c r="V98" s="159"/>
      <c r="W98" s="159"/>
      <c r="X98" s="159"/>
      <c r="Y98" s="157"/>
    </row>
    <row r="99" spans="1:25">
      <c r="A99" s="70" t="s">
        <v>852</v>
      </c>
      <c r="B99" s="66"/>
      <c r="C99" s="66"/>
      <c r="D99" s="88">
        <f>SUM(B99:C99)</f>
        <v>0</v>
      </c>
      <c r="E99" s="158"/>
      <c r="F99" s="159"/>
      <c r="G99" s="159"/>
      <c r="H99" s="159"/>
      <c r="I99" s="159"/>
      <c r="J99" s="159"/>
      <c r="K99" s="157"/>
      <c r="L99" s="160" t="s">
        <v>853</v>
      </c>
      <c r="M99" s="159"/>
      <c r="N99" s="159"/>
      <c r="O99" s="159"/>
      <c r="P99" s="157"/>
      <c r="Q99" s="66"/>
      <c r="R99" s="66"/>
      <c r="S99" s="88">
        <f>SUM(Q99:R99)</f>
        <v>0</v>
      </c>
      <c r="T99" s="158"/>
      <c r="U99" s="159"/>
      <c r="V99" s="159"/>
      <c r="W99" s="159"/>
      <c r="X99" s="159"/>
      <c r="Y99" s="157"/>
    </row>
    <row r="100" spans="1:25">
      <c r="A100" s="70" t="s">
        <v>854</v>
      </c>
      <c r="B100" s="66"/>
      <c r="C100" s="66"/>
      <c r="D100" s="88">
        <f>SUM(B100:C100)</f>
        <v>0</v>
      </c>
      <c r="E100" s="158"/>
      <c r="F100" s="159"/>
      <c r="G100" s="159"/>
      <c r="H100" s="159"/>
      <c r="I100" s="159"/>
      <c r="J100" s="159"/>
      <c r="K100" s="157"/>
      <c r="L100" s="160" t="s">
        <v>857</v>
      </c>
      <c r="M100" s="159"/>
      <c r="N100" s="159"/>
      <c r="O100" s="159"/>
      <c r="P100" s="157"/>
      <c r="Q100" s="66"/>
      <c r="R100" s="66"/>
      <c r="S100" s="88">
        <f>SUM(Q100:R100)</f>
        <v>0</v>
      </c>
      <c r="T100" s="158"/>
      <c r="U100" s="159"/>
      <c r="V100" s="159"/>
      <c r="W100" s="159"/>
      <c r="X100" s="159"/>
      <c r="Y100" s="157"/>
    </row>
    <row r="101" spans="1:25">
      <c r="A101" s="148" t="s">
        <v>773</v>
      </c>
      <c r="B101" s="133" t="s">
        <v>830</v>
      </c>
      <c r="C101" s="134"/>
      <c r="D101" s="135"/>
      <c r="E101" s="127" t="s">
        <v>736</v>
      </c>
      <c r="F101" s="128"/>
      <c r="G101" s="128"/>
      <c r="H101" s="128"/>
      <c r="I101" s="128"/>
      <c r="J101" s="128"/>
      <c r="K101" s="129"/>
      <c r="L101" s="152" t="s">
        <v>773</v>
      </c>
      <c r="M101" s="128"/>
      <c r="N101" s="128"/>
      <c r="O101" s="128"/>
      <c r="P101" s="129"/>
      <c r="Q101" s="133" t="s">
        <v>830</v>
      </c>
      <c r="R101" s="134"/>
      <c r="S101" s="135"/>
      <c r="T101" s="127" t="s">
        <v>736</v>
      </c>
      <c r="U101" s="128"/>
      <c r="V101" s="128"/>
      <c r="W101" s="128"/>
      <c r="X101" s="128"/>
      <c r="Y101" s="129"/>
    </row>
    <row r="102" spans="1:25">
      <c r="A102" s="137"/>
      <c r="B102" s="63" t="s">
        <v>831</v>
      </c>
      <c r="C102" s="63" t="s">
        <v>832</v>
      </c>
      <c r="D102" s="63" t="s">
        <v>833</v>
      </c>
      <c r="E102" s="130"/>
      <c r="F102" s="131"/>
      <c r="G102" s="131"/>
      <c r="H102" s="131"/>
      <c r="I102" s="131"/>
      <c r="J102" s="131"/>
      <c r="K102" s="132"/>
      <c r="L102" s="130"/>
      <c r="M102" s="131"/>
      <c r="N102" s="131"/>
      <c r="O102" s="131"/>
      <c r="P102" s="132"/>
      <c r="Q102" s="63" t="s">
        <v>831</v>
      </c>
      <c r="R102" s="63" t="s">
        <v>832</v>
      </c>
      <c r="S102" s="63" t="s">
        <v>833</v>
      </c>
      <c r="T102" s="130"/>
      <c r="U102" s="131"/>
      <c r="V102" s="131"/>
      <c r="W102" s="131"/>
      <c r="X102" s="131"/>
      <c r="Y102" s="132"/>
    </row>
    <row r="103" spans="1:25">
      <c r="A103" s="183" t="s">
        <v>858</v>
      </c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 customHeight="1" ht="24">
      <c r="A104" s="91" t="s">
        <v>859</v>
      </c>
      <c r="B104" s="92"/>
      <c r="C104" s="93"/>
      <c r="D104" s="88">
        <f>SUM(B104:C104)</f>
        <v>0</v>
      </c>
      <c r="E104" s="158"/>
      <c r="F104" s="159"/>
      <c r="G104" s="159"/>
      <c r="H104" s="159"/>
      <c r="I104" s="159"/>
      <c r="J104" s="159"/>
      <c r="K104" s="157"/>
      <c r="L104" s="160" t="s">
        <v>860</v>
      </c>
      <c r="M104" s="159"/>
      <c r="N104" s="159"/>
      <c r="O104" s="159"/>
      <c r="P104" s="157"/>
      <c r="Q104" s="93"/>
      <c r="R104" s="93"/>
      <c r="S104" s="88">
        <f>SUM(Q104:R104)</f>
        <v>0</v>
      </c>
      <c r="T104" s="158"/>
      <c r="U104" s="159"/>
      <c r="V104" s="159"/>
      <c r="W104" s="159"/>
      <c r="X104" s="159"/>
      <c r="Y104" s="157"/>
    </row>
    <row r="105" spans="1:25" customHeight="1" ht="24">
      <c r="A105" s="91" t="s">
        <v>861</v>
      </c>
      <c r="B105" s="92"/>
      <c r="C105" s="93"/>
      <c r="D105" s="88">
        <f>SUM(B105:C105)</f>
        <v>0</v>
      </c>
      <c r="E105" s="158"/>
      <c r="F105" s="159"/>
      <c r="G105" s="159"/>
      <c r="H105" s="159"/>
      <c r="I105" s="159"/>
      <c r="J105" s="159"/>
      <c r="K105" s="157"/>
      <c r="L105" s="160" t="s">
        <v>862</v>
      </c>
      <c r="M105" s="159"/>
      <c r="N105" s="159"/>
      <c r="O105" s="159"/>
      <c r="P105" s="157"/>
      <c r="Q105" s="93"/>
      <c r="R105" s="93"/>
      <c r="S105" s="88">
        <f>SUM(Q105:R105)</f>
        <v>0</v>
      </c>
      <c r="T105" s="158"/>
      <c r="U105" s="159"/>
      <c r="V105" s="159"/>
      <c r="W105" s="159"/>
      <c r="X105" s="159"/>
      <c r="Y105" s="157"/>
    </row>
    <row r="106" spans="1:25">
      <c r="A106" s="91" t="s">
        <v>863</v>
      </c>
      <c r="B106" s="93"/>
      <c r="C106" s="93"/>
      <c r="D106" s="88">
        <f>SUM(B106:C106)</f>
        <v>0</v>
      </c>
      <c r="E106" s="158"/>
      <c r="F106" s="159"/>
      <c r="G106" s="159"/>
      <c r="H106" s="159"/>
      <c r="I106" s="159"/>
      <c r="J106" s="159"/>
      <c r="K106" s="157"/>
      <c r="L106" s="160" t="s">
        <v>864</v>
      </c>
      <c r="M106" s="159"/>
      <c r="N106" s="159"/>
      <c r="O106" s="159"/>
      <c r="P106" s="157"/>
      <c r="Q106" s="93"/>
      <c r="R106" s="93"/>
      <c r="S106" s="88">
        <f>SUM(Q106:R106)</f>
        <v>0</v>
      </c>
      <c r="T106" s="158"/>
      <c r="U106" s="159"/>
      <c r="V106" s="159"/>
      <c r="W106" s="159"/>
      <c r="X106" s="159"/>
      <c r="Y106" s="157"/>
    </row>
    <row r="107" spans="1:25">
      <c r="A107" s="148" t="s">
        <v>773</v>
      </c>
      <c r="B107" s="133" t="s">
        <v>830</v>
      </c>
      <c r="C107" s="134"/>
      <c r="D107" s="135"/>
      <c r="E107" s="185" t="s">
        <v>736</v>
      </c>
      <c r="F107" s="141"/>
      <c r="G107" s="141"/>
      <c r="H107" s="141"/>
      <c r="I107" s="141"/>
      <c r="J107" s="141"/>
      <c r="K107" s="186"/>
      <c r="L107" s="187" t="s">
        <v>773</v>
      </c>
      <c r="M107" s="141"/>
      <c r="N107" s="141"/>
      <c r="O107" s="141"/>
      <c r="P107" s="186"/>
      <c r="Q107" s="133" t="s">
        <v>830</v>
      </c>
      <c r="R107" s="134"/>
      <c r="S107" s="135"/>
      <c r="T107" s="185" t="s">
        <v>736</v>
      </c>
      <c r="U107" s="141"/>
      <c r="V107" s="141"/>
      <c r="W107" s="141"/>
      <c r="X107" s="141"/>
      <c r="Y107" s="186"/>
    </row>
    <row r="108" spans="1:25">
      <c r="A108" s="137"/>
      <c r="B108" s="63" t="s">
        <v>831</v>
      </c>
      <c r="C108" s="63" t="s">
        <v>832</v>
      </c>
      <c r="D108" s="63" t="s">
        <v>833</v>
      </c>
      <c r="E108" s="130"/>
      <c r="F108" s="131"/>
      <c r="G108" s="131"/>
      <c r="H108" s="131"/>
      <c r="I108" s="131"/>
      <c r="J108" s="131"/>
      <c r="K108" s="132"/>
      <c r="L108" s="130"/>
      <c r="M108" s="131"/>
      <c r="N108" s="131"/>
      <c r="O108" s="131"/>
      <c r="P108" s="132"/>
      <c r="Q108" s="63" t="s">
        <v>831</v>
      </c>
      <c r="R108" s="63" t="s">
        <v>832</v>
      </c>
      <c r="S108" s="63" t="s">
        <v>833</v>
      </c>
      <c r="T108" s="130"/>
      <c r="U108" s="131"/>
      <c r="V108" s="131"/>
      <c r="W108" s="131"/>
      <c r="X108" s="131"/>
      <c r="Y108" s="132"/>
    </row>
    <row r="109" spans="1:25">
      <c r="A109" s="153" t="s">
        <v>865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 customHeight="1" ht="36">
      <c r="A110" s="70" t="s">
        <v>866</v>
      </c>
      <c r="B110" s="66"/>
      <c r="C110" s="66"/>
      <c r="D110" s="88">
        <f>SUM(B110:C110)</f>
        <v>0</v>
      </c>
      <c r="E110" s="158"/>
      <c r="F110" s="159"/>
      <c r="G110" s="159"/>
      <c r="H110" s="159"/>
      <c r="I110" s="159"/>
      <c r="J110" s="159"/>
      <c r="K110" s="157"/>
      <c r="L110" s="160" t="s">
        <v>867</v>
      </c>
      <c r="M110" s="159"/>
      <c r="N110" s="159"/>
      <c r="O110" s="159"/>
      <c r="P110" s="157"/>
      <c r="Q110" s="66"/>
      <c r="R110" s="66"/>
      <c r="S110" s="88">
        <f>SUM(Q110:R110)</f>
        <v>0</v>
      </c>
      <c r="T110" s="158"/>
      <c r="U110" s="159"/>
      <c r="V110" s="159"/>
      <c r="W110" s="159"/>
      <c r="X110" s="159"/>
      <c r="Y110" s="157"/>
    </row>
    <row r="111" spans="1:25" customHeight="1" ht="36">
      <c r="A111" s="70" t="s">
        <v>868</v>
      </c>
      <c r="B111" s="66"/>
      <c r="C111" s="66"/>
      <c r="D111" s="88">
        <f>SUM(B111:C111)</f>
        <v>0</v>
      </c>
      <c r="E111" s="158"/>
      <c r="F111" s="159"/>
      <c r="G111" s="159"/>
      <c r="H111" s="159"/>
      <c r="I111" s="159"/>
      <c r="J111" s="159"/>
      <c r="K111" s="157"/>
      <c r="L111" s="160" t="s">
        <v>869</v>
      </c>
      <c r="M111" s="159"/>
      <c r="N111" s="159"/>
      <c r="O111" s="159"/>
      <c r="P111" s="157"/>
      <c r="Q111" s="66"/>
      <c r="R111" s="66"/>
      <c r="S111" s="88">
        <f>SUM(Q111:R111)</f>
        <v>0</v>
      </c>
      <c r="T111" s="158"/>
      <c r="U111" s="159"/>
      <c r="V111" s="159"/>
      <c r="W111" s="159"/>
      <c r="X111" s="159"/>
      <c r="Y111" s="157"/>
    </row>
    <row r="112" spans="1:25" customHeight="1" ht="36">
      <c r="A112" s="70" t="s">
        <v>870</v>
      </c>
      <c r="B112" s="66"/>
      <c r="C112" s="66"/>
      <c r="D112" s="88">
        <f>SUM(B112:C112)</f>
        <v>0</v>
      </c>
      <c r="E112" s="158"/>
      <c r="F112" s="159"/>
      <c r="G112" s="159"/>
      <c r="H112" s="159"/>
      <c r="I112" s="159"/>
      <c r="J112" s="159"/>
      <c r="K112" s="157"/>
      <c r="L112" s="160" t="s">
        <v>871</v>
      </c>
      <c r="M112" s="159"/>
      <c r="N112" s="159"/>
      <c r="O112" s="159"/>
      <c r="P112" s="157"/>
      <c r="Q112" s="66"/>
      <c r="R112" s="66"/>
      <c r="S112" s="88">
        <f>SUM(Q112:R112)</f>
        <v>0</v>
      </c>
      <c r="T112" s="158"/>
      <c r="U112" s="159"/>
      <c r="V112" s="159"/>
      <c r="W112" s="159"/>
      <c r="X112" s="159"/>
      <c r="Y112" s="157"/>
    </row>
    <row r="113" spans="1:25" customHeight="1" ht="48">
      <c r="A113" s="70" t="s">
        <v>872</v>
      </c>
      <c r="B113" s="66"/>
      <c r="C113" s="66"/>
      <c r="D113" s="88">
        <f>SUM(B113:C113)</f>
        <v>0</v>
      </c>
      <c r="E113" s="158"/>
      <c r="F113" s="159"/>
      <c r="G113" s="159"/>
      <c r="H113" s="159"/>
      <c r="I113" s="159"/>
      <c r="J113" s="159"/>
      <c r="K113" s="157"/>
      <c r="L113" s="160" t="s">
        <v>873</v>
      </c>
      <c r="M113" s="159"/>
      <c r="N113" s="159"/>
      <c r="O113" s="159"/>
      <c r="P113" s="157"/>
      <c r="Q113" s="66"/>
      <c r="R113" s="66"/>
      <c r="S113" s="88">
        <f>SUM(Q113:R113)</f>
        <v>0</v>
      </c>
      <c r="T113" s="158"/>
      <c r="U113" s="159"/>
      <c r="V113" s="159"/>
      <c r="W113" s="159"/>
      <c r="X113" s="159"/>
      <c r="Y113" s="157"/>
    </row>
    <row r="114" spans="1:25">
      <c r="A114" s="188" t="s">
        <v>773</v>
      </c>
      <c r="B114" s="189" t="s">
        <v>830</v>
      </c>
      <c r="C114" s="131"/>
      <c r="D114" s="132"/>
      <c r="E114" s="185" t="s">
        <v>736</v>
      </c>
      <c r="F114" s="141"/>
      <c r="G114" s="141"/>
      <c r="H114" s="141"/>
      <c r="I114" s="141"/>
      <c r="J114" s="141"/>
      <c r="K114" s="186"/>
      <c r="L114" s="187" t="s">
        <v>773</v>
      </c>
      <c r="M114" s="141"/>
      <c r="N114" s="141"/>
      <c r="O114" s="141"/>
      <c r="P114" s="186"/>
      <c r="Q114" s="189" t="s">
        <v>830</v>
      </c>
      <c r="R114" s="131"/>
      <c r="S114" s="132"/>
      <c r="T114" s="185" t="s">
        <v>736</v>
      </c>
      <c r="U114" s="141"/>
      <c r="V114" s="141"/>
      <c r="W114" s="141"/>
      <c r="X114" s="141"/>
      <c r="Y114" s="186"/>
    </row>
    <row r="115" spans="1:25">
      <c r="A115" s="137"/>
      <c r="B115" s="51" t="s">
        <v>831</v>
      </c>
      <c r="C115" s="51" t="s">
        <v>832</v>
      </c>
      <c r="D115" s="51" t="s">
        <v>833</v>
      </c>
      <c r="E115" s="130"/>
      <c r="F115" s="131"/>
      <c r="G115" s="131"/>
      <c r="H115" s="131"/>
      <c r="I115" s="131"/>
      <c r="J115" s="131"/>
      <c r="K115" s="132"/>
      <c r="L115" s="130"/>
      <c r="M115" s="131"/>
      <c r="N115" s="131"/>
      <c r="O115" s="131"/>
      <c r="P115" s="132"/>
      <c r="Q115" s="51" t="s">
        <v>831</v>
      </c>
      <c r="R115" s="51" t="s">
        <v>832</v>
      </c>
      <c r="S115" s="51" t="s">
        <v>833</v>
      </c>
      <c r="T115" s="130"/>
      <c r="U115" s="131"/>
      <c r="V115" s="131"/>
      <c r="W115" s="131"/>
      <c r="X115" s="131"/>
      <c r="Y115" s="132"/>
    </row>
    <row r="116" spans="1:25" customHeight="1" ht="36">
      <c r="A116" s="94" t="s">
        <v>874</v>
      </c>
      <c r="B116" s="66"/>
      <c r="C116" s="66"/>
      <c r="D116" s="88">
        <f>SUM(B116:C116)</f>
        <v>0</v>
      </c>
      <c r="E116" s="158"/>
      <c r="F116" s="159"/>
      <c r="G116" s="159"/>
      <c r="H116" s="159"/>
      <c r="I116" s="159"/>
      <c r="J116" s="159"/>
      <c r="K116" s="157"/>
      <c r="L116" s="160" t="s">
        <v>875</v>
      </c>
      <c r="M116" s="159"/>
      <c r="N116" s="159"/>
      <c r="O116" s="159"/>
      <c r="P116" s="157"/>
      <c r="Q116" s="66"/>
      <c r="R116" s="66"/>
      <c r="S116" s="88">
        <f>SUM(Q116:R116)</f>
        <v>0</v>
      </c>
      <c r="T116" s="158"/>
      <c r="U116" s="159"/>
      <c r="V116" s="159"/>
      <c r="W116" s="159"/>
      <c r="X116" s="159"/>
      <c r="Y116" s="157"/>
    </row>
    <row r="117" spans="1:25">
      <c r="A117" s="94" t="s">
        <v>876</v>
      </c>
      <c r="B117" s="66"/>
      <c r="C117" s="66"/>
      <c r="D117" s="88">
        <f>SUM(B117:C117)</f>
        <v>0</v>
      </c>
      <c r="E117" s="158"/>
      <c r="F117" s="159"/>
      <c r="G117" s="159"/>
      <c r="H117" s="159"/>
      <c r="I117" s="159"/>
      <c r="J117" s="159"/>
      <c r="K117" s="157"/>
      <c r="L117" s="158" t="s">
        <v>877</v>
      </c>
      <c r="M117" s="159"/>
      <c r="N117" s="159"/>
      <c r="O117" s="159"/>
      <c r="P117" s="157"/>
      <c r="Q117" s="66"/>
      <c r="R117" s="66"/>
      <c r="S117" s="88">
        <f>SUM(Q117:R117)</f>
        <v>0</v>
      </c>
      <c r="T117" s="158"/>
      <c r="U117" s="159"/>
      <c r="V117" s="159"/>
      <c r="W117" s="159"/>
      <c r="X117" s="159"/>
      <c r="Y117" s="157"/>
    </row>
    <row r="118" spans="1:25">
      <c r="A118" s="94" t="s">
        <v>878</v>
      </c>
      <c r="B118" s="66"/>
      <c r="C118" s="66"/>
      <c r="D118" s="88">
        <f>SUM(B118:C118)</f>
        <v>0</v>
      </c>
      <c r="E118" s="158"/>
      <c r="F118" s="159"/>
      <c r="G118" s="159"/>
      <c r="H118" s="159"/>
      <c r="I118" s="159"/>
      <c r="J118" s="159"/>
      <c r="K118" s="157"/>
      <c r="L118" s="158" t="s">
        <v>879</v>
      </c>
      <c r="M118" s="159"/>
      <c r="N118" s="159"/>
      <c r="O118" s="159"/>
      <c r="P118" s="157"/>
      <c r="Q118" s="66"/>
      <c r="R118" s="66"/>
      <c r="S118" s="88">
        <f>SUM(Q118:R118)</f>
        <v>0</v>
      </c>
      <c r="T118" s="158"/>
      <c r="U118" s="159"/>
      <c r="V118" s="159"/>
      <c r="W118" s="159"/>
      <c r="X118" s="159"/>
      <c r="Y118" s="157"/>
    </row>
    <row r="119" spans="1:25">
      <c r="A119" s="94" t="s">
        <v>880</v>
      </c>
      <c r="B119" s="66"/>
      <c r="C119" s="66"/>
      <c r="D119" s="88">
        <f>SUM(B119:C119)</f>
        <v>0</v>
      </c>
      <c r="E119" s="158"/>
      <c r="F119" s="159"/>
      <c r="G119" s="159"/>
      <c r="H119" s="159"/>
      <c r="I119" s="159"/>
      <c r="J119" s="159"/>
      <c r="K119" s="157"/>
      <c r="L119" s="160" t="s">
        <v>881</v>
      </c>
      <c r="M119" s="159"/>
      <c r="N119" s="159"/>
      <c r="O119" s="159"/>
      <c r="P119" s="157"/>
      <c r="Q119" s="66"/>
      <c r="R119" s="66"/>
      <c r="S119" s="88">
        <f>SUM(Q119:R119)</f>
        <v>0</v>
      </c>
      <c r="T119" s="158"/>
      <c r="U119" s="159"/>
      <c r="V119" s="159"/>
      <c r="W119" s="159"/>
      <c r="X119" s="159"/>
      <c r="Y119" s="157"/>
    </row>
    <row r="120" spans="1:25">
      <c r="A120" s="94" t="s">
        <v>882</v>
      </c>
      <c r="B120" s="66"/>
      <c r="C120" s="66"/>
      <c r="D120" s="88">
        <f>SUM(B120:C120)</f>
        <v>0</v>
      </c>
      <c r="E120" s="158"/>
      <c r="F120" s="159"/>
      <c r="G120" s="159"/>
      <c r="H120" s="159"/>
      <c r="I120" s="159"/>
      <c r="J120" s="159"/>
      <c r="K120" s="157"/>
      <c r="L120" s="160" t="s">
        <v>883</v>
      </c>
      <c r="M120" s="159"/>
      <c r="N120" s="159"/>
      <c r="O120" s="159"/>
      <c r="P120" s="157"/>
      <c r="Q120" s="66"/>
      <c r="R120" s="66"/>
      <c r="S120" s="88">
        <f>SUM(Q120:R120)</f>
        <v>0</v>
      </c>
      <c r="T120" s="158"/>
      <c r="U120" s="159"/>
      <c r="V120" s="159"/>
      <c r="W120" s="159"/>
      <c r="X120" s="159"/>
      <c r="Y120" s="157"/>
    </row>
    <row r="121" spans="1:25">
      <c r="A121" s="94" t="s">
        <v>884</v>
      </c>
      <c r="B121" s="66"/>
      <c r="C121" s="66"/>
      <c r="D121" s="88">
        <f>SUM(B121:C121)</f>
        <v>0</v>
      </c>
      <c r="E121" s="158"/>
      <c r="F121" s="159"/>
      <c r="G121" s="159"/>
      <c r="H121" s="159"/>
      <c r="I121" s="159"/>
      <c r="J121" s="159"/>
      <c r="K121" s="157"/>
      <c r="L121" s="160" t="s">
        <v>885</v>
      </c>
      <c r="M121" s="159"/>
      <c r="N121" s="159"/>
      <c r="O121" s="159"/>
      <c r="P121" s="157"/>
      <c r="Q121" s="66"/>
      <c r="R121" s="66"/>
      <c r="S121" s="88">
        <f>SUM(Q121:R121)</f>
        <v>0</v>
      </c>
      <c r="T121" s="158"/>
      <c r="U121" s="159"/>
      <c r="V121" s="159"/>
      <c r="W121" s="159"/>
      <c r="X121" s="159"/>
      <c r="Y121" s="157"/>
    </row>
    <row r="122" spans="1:25">
      <c r="A122" s="94" t="s">
        <v>886</v>
      </c>
      <c r="B122" s="66"/>
      <c r="C122" s="66"/>
      <c r="D122" s="88">
        <f>SUM(B122:C122)</f>
        <v>0</v>
      </c>
      <c r="E122" s="158"/>
      <c r="F122" s="159"/>
      <c r="G122" s="159"/>
      <c r="H122" s="159"/>
      <c r="I122" s="159"/>
      <c r="J122" s="159"/>
      <c r="K122" s="157"/>
      <c r="L122" s="182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spans="1:25">
      <c r="A123" s="188" t="s">
        <v>773</v>
      </c>
      <c r="B123" s="189" t="s">
        <v>830</v>
      </c>
      <c r="C123" s="131"/>
      <c r="D123" s="132"/>
      <c r="E123" s="185" t="s">
        <v>736</v>
      </c>
      <c r="F123" s="141"/>
      <c r="G123" s="141"/>
      <c r="H123" s="141"/>
      <c r="I123" s="141"/>
      <c r="J123" s="141"/>
      <c r="K123" s="186"/>
      <c r="L123" s="187" t="s">
        <v>773</v>
      </c>
      <c r="M123" s="141"/>
      <c r="N123" s="141"/>
      <c r="O123" s="141"/>
      <c r="P123" s="186"/>
      <c r="Q123" s="189" t="s">
        <v>830</v>
      </c>
      <c r="R123" s="131"/>
      <c r="S123" s="132"/>
      <c r="T123" s="185" t="s">
        <v>736</v>
      </c>
      <c r="U123" s="141"/>
      <c r="V123" s="141"/>
      <c r="W123" s="141"/>
      <c r="X123" s="141"/>
      <c r="Y123" s="186"/>
    </row>
    <row r="124" spans="1:25">
      <c r="A124" s="137"/>
      <c r="B124" s="63" t="s">
        <v>831</v>
      </c>
      <c r="C124" s="63" t="s">
        <v>832</v>
      </c>
      <c r="D124" s="63" t="s">
        <v>833</v>
      </c>
      <c r="E124" s="130"/>
      <c r="F124" s="131"/>
      <c r="G124" s="131"/>
      <c r="H124" s="131"/>
      <c r="I124" s="131"/>
      <c r="J124" s="131"/>
      <c r="K124" s="132"/>
      <c r="L124" s="130"/>
      <c r="M124" s="131"/>
      <c r="N124" s="131"/>
      <c r="O124" s="131"/>
      <c r="P124" s="132"/>
      <c r="Q124" s="63" t="s">
        <v>831</v>
      </c>
      <c r="R124" s="63" t="s">
        <v>832</v>
      </c>
      <c r="S124" s="63" t="s">
        <v>833</v>
      </c>
      <c r="T124" s="130"/>
      <c r="U124" s="131"/>
      <c r="V124" s="131"/>
      <c r="W124" s="131"/>
      <c r="X124" s="131"/>
      <c r="Y124" s="132"/>
    </row>
    <row r="125" spans="1:25">
      <c r="A125" s="153" t="s">
        <v>887</v>
      </c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 customHeight="1" ht="48">
      <c r="A126" s="94" t="s">
        <v>888</v>
      </c>
      <c r="B126" s="66"/>
      <c r="C126" s="66"/>
      <c r="D126" s="88">
        <f>SUM(B126:C126)</f>
        <v>0</v>
      </c>
      <c r="E126" s="158"/>
      <c r="F126" s="159"/>
      <c r="G126" s="159"/>
      <c r="H126" s="159"/>
      <c r="I126" s="159"/>
      <c r="J126" s="159"/>
      <c r="K126" s="157"/>
      <c r="L126" s="160" t="s">
        <v>889</v>
      </c>
      <c r="M126" s="159"/>
      <c r="N126" s="159"/>
      <c r="O126" s="159"/>
      <c r="P126" s="157"/>
      <c r="Q126" s="66"/>
      <c r="R126" s="66"/>
      <c r="S126" s="88">
        <f>SUM(Q126:R126)</f>
        <v>0</v>
      </c>
      <c r="T126" s="158"/>
      <c r="U126" s="159"/>
      <c r="V126" s="159"/>
      <c r="W126" s="159"/>
      <c r="X126" s="159"/>
      <c r="Y126" s="157"/>
    </row>
    <row r="127" spans="1:25" customHeight="1" ht="24">
      <c r="A127" s="94" t="s">
        <v>890</v>
      </c>
      <c r="B127" s="66"/>
      <c r="C127" s="66"/>
      <c r="D127" s="88">
        <f>SUM(B127:C127)</f>
        <v>0</v>
      </c>
      <c r="E127" s="158"/>
      <c r="F127" s="159"/>
      <c r="G127" s="159"/>
      <c r="H127" s="159"/>
      <c r="I127" s="159"/>
      <c r="J127" s="159"/>
      <c r="K127" s="157"/>
      <c r="L127" s="160" t="s">
        <v>891</v>
      </c>
      <c r="M127" s="159"/>
      <c r="N127" s="159"/>
      <c r="O127" s="159"/>
      <c r="P127" s="157"/>
      <c r="Q127" s="66"/>
      <c r="R127" s="66"/>
      <c r="S127" s="88">
        <f>SUM(Q127:R127)</f>
        <v>0</v>
      </c>
      <c r="T127" s="158"/>
      <c r="U127" s="159"/>
      <c r="V127" s="159"/>
      <c r="W127" s="159"/>
      <c r="X127" s="159"/>
      <c r="Y127" s="157"/>
    </row>
    <row r="128" spans="1:25" customHeight="1" ht="48">
      <c r="A128" s="94" t="s">
        <v>892</v>
      </c>
      <c r="B128" s="66"/>
      <c r="C128" s="66"/>
      <c r="D128" s="88">
        <f>SUM(B128:C128)</f>
        <v>0</v>
      </c>
      <c r="E128" s="158"/>
      <c r="F128" s="159"/>
      <c r="G128" s="159"/>
      <c r="H128" s="159"/>
      <c r="I128" s="159"/>
      <c r="J128" s="159"/>
      <c r="K128" s="157"/>
      <c r="L128" s="160" t="s">
        <v>893</v>
      </c>
      <c r="M128" s="159"/>
      <c r="N128" s="159"/>
      <c r="O128" s="159"/>
      <c r="P128" s="157"/>
      <c r="Q128" s="66"/>
      <c r="R128" s="66"/>
      <c r="S128" s="88">
        <f>SUM(Q128:R128)</f>
        <v>0</v>
      </c>
      <c r="T128" s="158"/>
      <c r="U128" s="159"/>
      <c r="V128" s="159"/>
      <c r="W128" s="159"/>
      <c r="X128" s="159"/>
      <c r="Y128" s="157"/>
    </row>
    <row r="129" spans="1:25" customHeight="1" ht="24">
      <c r="A129" s="94" t="s">
        <v>894</v>
      </c>
      <c r="B129" s="66"/>
      <c r="C129" s="66"/>
      <c r="D129" s="88">
        <f>SUM(B129:C129)</f>
        <v>0</v>
      </c>
      <c r="E129" s="158"/>
      <c r="F129" s="159"/>
      <c r="G129" s="159"/>
      <c r="H129" s="159"/>
      <c r="I129" s="159"/>
      <c r="J129" s="159"/>
      <c r="K129" s="157"/>
      <c r="L129" s="160" t="s">
        <v>895</v>
      </c>
      <c r="M129" s="159"/>
      <c r="N129" s="159"/>
      <c r="O129" s="159"/>
      <c r="P129" s="157"/>
      <c r="Q129" s="66"/>
      <c r="R129" s="66"/>
      <c r="S129" s="88">
        <f>SUM(Q129:R129)</f>
        <v>0</v>
      </c>
      <c r="T129" s="158"/>
      <c r="U129" s="159"/>
      <c r="V129" s="159"/>
      <c r="W129" s="159"/>
      <c r="X129" s="159"/>
      <c r="Y129" s="157"/>
    </row>
    <row r="130" spans="1:25" customHeight="1" ht="24">
      <c r="A130" s="94" t="s">
        <v>896</v>
      </c>
      <c r="B130" s="66"/>
      <c r="C130" s="66"/>
      <c r="D130" s="88">
        <f>SUM(B130:C130)</f>
        <v>0</v>
      </c>
      <c r="E130" s="158"/>
      <c r="F130" s="159"/>
      <c r="G130" s="159"/>
      <c r="H130" s="159"/>
      <c r="I130" s="159"/>
      <c r="J130" s="159"/>
      <c r="K130" s="157"/>
      <c r="L130" s="194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7"/>
    </row>
    <row r="131" spans="1:25">
      <c r="A131" s="142" t="s">
        <v>897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5"/>
    </row>
    <row r="132" spans="1:25">
      <c r="A132" s="148" t="s">
        <v>773</v>
      </c>
      <c r="B132" s="133" t="s">
        <v>830</v>
      </c>
      <c r="C132" s="135"/>
      <c r="D132" s="136" t="s">
        <v>833</v>
      </c>
      <c r="E132" s="127" t="s">
        <v>736</v>
      </c>
      <c r="F132" s="128"/>
      <c r="G132" s="128"/>
      <c r="H132" s="128"/>
      <c r="I132" s="128"/>
      <c r="J132" s="128"/>
      <c r="K132" s="129"/>
      <c r="L132" s="152" t="s">
        <v>773</v>
      </c>
      <c r="M132" s="128"/>
      <c r="N132" s="128"/>
      <c r="O132" s="129"/>
      <c r="P132" s="133" t="s">
        <v>830</v>
      </c>
      <c r="Q132" s="135"/>
      <c r="R132" s="136" t="s">
        <v>833</v>
      </c>
      <c r="S132" s="127" t="s">
        <v>736</v>
      </c>
      <c r="T132" s="128"/>
      <c r="U132" s="128"/>
      <c r="V132" s="128"/>
      <c r="W132" s="128"/>
      <c r="X132" s="128"/>
      <c r="Y132" s="129"/>
    </row>
    <row r="133" spans="1:25">
      <c r="A133" s="137"/>
      <c r="B133" s="63" t="s">
        <v>831</v>
      </c>
      <c r="C133" s="63" t="s">
        <v>832</v>
      </c>
      <c r="D133" s="137"/>
      <c r="E133" s="130"/>
      <c r="F133" s="131"/>
      <c r="G133" s="131"/>
      <c r="H133" s="131"/>
      <c r="I133" s="131"/>
      <c r="J133" s="131"/>
      <c r="K133" s="132"/>
      <c r="L133" s="130"/>
      <c r="M133" s="131"/>
      <c r="N133" s="131"/>
      <c r="O133" s="132"/>
      <c r="P133" s="63" t="s">
        <v>831</v>
      </c>
      <c r="Q133" s="63" t="s">
        <v>832</v>
      </c>
      <c r="R133" s="137"/>
      <c r="S133" s="130"/>
      <c r="T133" s="131"/>
      <c r="U133" s="131"/>
      <c r="V133" s="131"/>
      <c r="W133" s="131"/>
      <c r="X133" s="131"/>
      <c r="Y133" s="132"/>
    </row>
    <row r="134" spans="1:25" customHeight="1" ht="14.25">
      <c r="A134" s="190" t="s">
        <v>898</v>
      </c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2"/>
    </row>
    <row r="135" spans="1:25" customHeight="1" ht="24">
      <c r="A135" s="95" t="s">
        <v>899</v>
      </c>
      <c r="B135" s="96">
        <v>0</v>
      </c>
      <c r="C135" s="96">
        <v>0</v>
      </c>
      <c r="D135" s="97">
        <f>SUM(B135:C135)</f>
        <v>0</v>
      </c>
      <c r="E135" s="193"/>
      <c r="F135" s="154"/>
      <c r="G135" s="154"/>
      <c r="H135" s="154"/>
      <c r="I135" s="154"/>
      <c r="J135" s="154"/>
      <c r="K135" s="155"/>
      <c r="L135" s="184" t="s">
        <v>900</v>
      </c>
      <c r="M135" s="154"/>
      <c r="N135" s="154"/>
      <c r="O135" s="155"/>
      <c r="P135" s="97">
        <f>SUM(P136:P137)</f>
        <v>0</v>
      </c>
      <c r="Q135" s="97">
        <f>SUM(Q136:Q137)</f>
        <v>0</v>
      </c>
      <c r="R135" s="97">
        <f>SUM(R136:R137)</f>
        <v>0</v>
      </c>
      <c r="S135" s="193"/>
      <c r="T135" s="154"/>
      <c r="U135" s="154"/>
      <c r="V135" s="154"/>
      <c r="W135" s="154"/>
      <c r="X135" s="154"/>
      <c r="Y135" s="155"/>
    </row>
    <row r="136" spans="1:25" customHeight="1" ht="36">
      <c r="A136" s="70" t="s">
        <v>901</v>
      </c>
      <c r="B136" s="88">
        <f>SUM(B137:B138)</f>
        <v>0</v>
      </c>
      <c r="C136" s="88">
        <f>SUM(C137:C138)</f>
        <v>0</v>
      </c>
      <c r="D136" s="88">
        <f>SUM(D137:D138)</f>
        <v>0</v>
      </c>
      <c r="E136" s="158"/>
      <c r="F136" s="159"/>
      <c r="G136" s="159"/>
      <c r="H136" s="159"/>
      <c r="I136" s="159"/>
      <c r="J136" s="159"/>
      <c r="K136" s="157"/>
      <c r="L136" s="160" t="s">
        <v>902</v>
      </c>
      <c r="M136" s="159"/>
      <c r="N136" s="159"/>
      <c r="O136" s="157"/>
      <c r="P136" s="66">
        <v>0</v>
      </c>
      <c r="Q136" s="66">
        <v>0</v>
      </c>
      <c r="R136" s="88">
        <f>SUM(P136:Q136)</f>
        <v>0</v>
      </c>
      <c r="S136" s="158"/>
      <c r="T136" s="159"/>
      <c r="U136" s="159"/>
      <c r="V136" s="159"/>
      <c r="W136" s="159"/>
      <c r="X136" s="159"/>
      <c r="Y136" s="157"/>
    </row>
    <row r="137" spans="1:25" customHeight="1" ht="48">
      <c r="A137" s="70" t="s">
        <v>903</v>
      </c>
      <c r="B137" s="66"/>
      <c r="C137" s="66"/>
      <c r="D137" s="88">
        <f>SUM(B137:C137)</f>
        <v>0</v>
      </c>
      <c r="E137" s="158"/>
      <c r="F137" s="159"/>
      <c r="G137" s="159"/>
      <c r="H137" s="159"/>
      <c r="I137" s="159"/>
      <c r="J137" s="159"/>
      <c r="K137" s="157"/>
      <c r="L137" s="160" t="s">
        <v>904</v>
      </c>
      <c r="M137" s="159"/>
      <c r="N137" s="159"/>
      <c r="O137" s="157"/>
      <c r="P137" s="66">
        <v>0</v>
      </c>
      <c r="Q137" s="66">
        <v>0</v>
      </c>
      <c r="R137" s="88">
        <f>SUM(P137:Q137)</f>
        <v>0</v>
      </c>
      <c r="S137" s="158"/>
      <c r="T137" s="159"/>
      <c r="U137" s="159"/>
      <c r="V137" s="159"/>
      <c r="W137" s="159"/>
      <c r="X137" s="159"/>
      <c r="Y137" s="157"/>
    </row>
    <row r="138" spans="1:25" customHeight="1" ht="48">
      <c r="A138" s="70" t="s">
        <v>905</v>
      </c>
      <c r="B138" s="66">
        <v>0</v>
      </c>
      <c r="C138" s="66">
        <v>0</v>
      </c>
      <c r="D138" s="88">
        <f>SUM(B138:C138)</f>
        <v>0</v>
      </c>
      <c r="E138" s="158"/>
      <c r="F138" s="159"/>
      <c r="G138" s="159"/>
      <c r="H138" s="159"/>
      <c r="I138" s="159"/>
      <c r="J138" s="159"/>
      <c r="K138" s="157"/>
      <c r="L138" s="160" t="s">
        <v>906</v>
      </c>
      <c r="M138" s="159"/>
      <c r="N138" s="159"/>
      <c r="O138" s="157"/>
      <c r="P138" s="88">
        <f>SUM(P139:P140)</f>
        <v>0</v>
      </c>
      <c r="Q138" s="88">
        <f>SUM(Q139:Q140)</f>
        <v>0</v>
      </c>
      <c r="R138" s="88">
        <f>SUM(R139:R140)</f>
        <v>0</v>
      </c>
      <c r="S138" s="158"/>
      <c r="T138" s="159"/>
      <c r="U138" s="159"/>
      <c r="V138" s="159"/>
      <c r="W138" s="159"/>
      <c r="X138" s="159"/>
      <c r="Y138" s="157"/>
    </row>
    <row r="139" spans="1:25" customHeight="1" ht="36">
      <c r="A139" s="70" t="s">
        <v>907</v>
      </c>
      <c r="B139" s="88">
        <f>SUM(B140:B141)</f>
        <v>0</v>
      </c>
      <c r="C139" s="88">
        <f>SUM(C140:C141)</f>
        <v>0</v>
      </c>
      <c r="D139" s="88">
        <f>SUM(D140:D141)</f>
        <v>0</v>
      </c>
      <c r="E139" s="158"/>
      <c r="F139" s="159"/>
      <c r="G139" s="159"/>
      <c r="H139" s="159"/>
      <c r="I139" s="159"/>
      <c r="J139" s="159"/>
      <c r="K139" s="157"/>
      <c r="L139" s="160" t="s">
        <v>908</v>
      </c>
      <c r="M139" s="159"/>
      <c r="N139" s="159"/>
      <c r="O139" s="157"/>
      <c r="P139" s="66">
        <v>0</v>
      </c>
      <c r="Q139" s="66">
        <v>0</v>
      </c>
      <c r="R139" s="88">
        <f>SUM(P139:Q139)</f>
        <v>0</v>
      </c>
      <c r="S139" s="158"/>
      <c r="T139" s="159"/>
      <c r="U139" s="159"/>
      <c r="V139" s="159"/>
      <c r="W139" s="159"/>
      <c r="X139" s="159"/>
      <c r="Y139" s="157"/>
    </row>
    <row r="140" spans="1:25" customHeight="1" ht="48">
      <c r="A140" s="70" t="s">
        <v>909</v>
      </c>
      <c r="B140" s="66"/>
      <c r="C140" s="66"/>
      <c r="D140" s="88">
        <f>SUM(B140:C140)</f>
        <v>0</v>
      </c>
      <c r="E140" s="158"/>
      <c r="F140" s="159"/>
      <c r="G140" s="159"/>
      <c r="H140" s="159"/>
      <c r="I140" s="159"/>
      <c r="J140" s="159"/>
      <c r="K140" s="157"/>
      <c r="L140" s="160" t="s">
        <v>910</v>
      </c>
      <c r="M140" s="159"/>
      <c r="N140" s="159"/>
      <c r="O140" s="157"/>
      <c r="P140" s="66">
        <v>0</v>
      </c>
      <c r="Q140" s="66">
        <v>0</v>
      </c>
      <c r="R140" s="88">
        <f>SUM(P140:Q140)</f>
        <v>0</v>
      </c>
      <c r="S140" s="158"/>
      <c r="T140" s="159"/>
      <c r="U140" s="159"/>
      <c r="V140" s="159"/>
      <c r="W140" s="159"/>
      <c r="X140" s="159"/>
      <c r="Y140" s="157"/>
    </row>
    <row r="141" spans="1:25" customHeight="1" ht="48">
      <c r="A141" s="70" t="s">
        <v>911</v>
      </c>
      <c r="B141" s="66">
        <v>0</v>
      </c>
      <c r="C141" s="66">
        <v>0</v>
      </c>
      <c r="D141" s="88">
        <f>SUM(B141:C141)</f>
        <v>0</v>
      </c>
      <c r="E141" s="158"/>
      <c r="F141" s="159"/>
      <c r="G141" s="159"/>
      <c r="H141" s="159"/>
      <c r="I141" s="159"/>
      <c r="J141" s="159"/>
      <c r="K141" s="157"/>
      <c r="L141" s="160" t="s">
        <v>912</v>
      </c>
      <c r="M141" s="159"/>
      <c r="N141" s="159"/>
      <c r="O141" s="157"/>
      <c r="P141" s="88">
        <f>SUM(P142:P143)</f>
        <v>190</v>
      </c>
      <c r="Q141" s="88">
        <f>SUM(Q142:Q143)</f>
        <v>1</v>
      </c>
      <c r="R141" s="88">
        <f>SUM(R142:R143)</f>
        <v>191</v>
      </c>
      <c r="S141" s="158"/>
      <c r="T141" s="159"/>
      <c r="U141" s="159"/>
      <c r="V141" s="159"/>
      <c r="W141" s="159"/>
      <c r="X141" s="159"/>
      <c r="Y141" s="157"/>
    </row>
    <row r="142" spans="1:25" customHeight="1" ht="48">
      <c r="A142" s="70" t="s">
        <v>913</v>
      </c>
      <c r="B142" s="88">
        <f>SUM(B143:B144)</f>
        <v>0</v>
      </c>
      <c r="C142" s="88">
        <f>SUM(C143:C144)</f>
        <v>0</v>
      </c>
      <c r="D142" s="88">
        <f>SUM(D143:D144)</f>
        <v>0</v>
      </c>
      <c r="E142" s="158"/>
      <c r="F142" s="159"/>
      <c r="G142" s="159"/>
      <c r="H142" s="159"/>
      <c r="I142" s="159"/>
      <c r="J142" s="159"/>
      <c r="K142" s="157"/>
      <c r="L142" s="160" t="s">
        <v>914</v>
      </c>
      <c r="M142" s="159"/>
      <c r="N142" s="159"/>
      <c r="O142" s="157"/>
      <c r="P142" s="66">
        <v>0</v>
      </c>
      <c r="Q142" s="66">
        <v>0</v>
      </c>
      <c r="R142" s="88">
        <f>SUM(P142:Q142)</f>
        <v>0</v>
      </c>
      <c r="S142" s="158"/>
      <c r="T142" s="159"/>
      <c r="U142" s="159"/>
      <c r="V142" s="159"/>
      <c r="W142" s="159"/>
      <c r="X142" s="159"/>
      <c r="Y142" s="157"/>
    </row>
    <row r="143" spans="1:25" customHeight="1" ht="48">
      <c r="A143" s="70" t="s">
        <v>915</v>
      </c>
      <c r="B143" s="66"/>
      <c r="C143" s="66"/>
      <c r="D143" s="88">
        <f>SUM(B143:C143)</f>
        <v>0</v>
      </c>
      <c r="E143" s="158"/>
      <c r="F143" s="159"/>
      <c r="G143" s="159"/>
      <c r="H143" s="159"/>
      <c r="I143" s="159"/>
      <c r="J143" s="159"/>
      <c r="K143" s="157"/>
      <c r="L143" s="160" t="s">
        <v>916</v>
      </c>
      <c r="M143" s="159"/>
      <c r="N143" s="159"/>
      <c r="O143" s="157"/>
      <c r="P143" s="66">
        <v>190.0</v>
      </c>
      <c r="Q143" s="66">
        <v>1.0</v>
      </c>
      <c r="R143" s="88">
        <f>SUM(P143:Q143)</f>
        <v>191</v>
      </c>
      <c r="S143" s="158"/>
      <c r="T143" s="159"/>
      <c r="U143" s="159"/>
      <c r="V143" s="159"/>
      <c r="W143" s="159"/>
      <c r="X143" s="159"/>
      <c r="Y143" s="157"/>
    </row>
    <row r="144" spans="1:25" customHeight="1" ht="48">
      <c r="A144" s="70" t="s">
        <v>917</v>
      </c>
      <c r="B144" s="66"/>
      <c r="C144" s="66"/>
      <c r="D144" s="88">
        <f>SUM(B144:C144)</f>
        <v>0</v>
      </c>
      <c r="E144" s="158"/>
      <c r="F144" s="159"/>
      <c r="G144" s="159"/>
      <c r="H144" s="159"/>
      <c r="I144" s="159"/>
      <c r="J144" s="159"/>
      <c r="K144" s="157"/>
      <c r="L144" s="160" t="s">
        <v>918</v>
      </c>
      <c r="M144" s="159"/>
      <c r="N144" s="159"/>
      <c r="O144" s="157"/>
      <c r="P144" s="88">
        <f>SUM(P145:P146)</f>
        <v>0</v>
      </c>
      <c r="Q144" s="88">
        <f>SUM(Q145:Q146)</f>
        <v>0</v>
      </c>
      <c r="R144" s="88">
        <f>SUM(R145:R146)</f>
        <v>0</v>
      </c>
      <c r="S144" s="158"/>
      <c r="T144" s="159"/>
      <c r="U144" s="159"/>
      <c r="V144" s="159"/>
      <c r="W144" s="159"/>
      <c r="X144" s="159"/>
      <c r="Y144" s="157"/>
    </row>
    <row r="145" spans="1:25" customHeight="1" ht="36">
      <c r="A145" s="70" t="s">
        <v>919</v>
      </c>
      <c r="B145" s="88">
        <f>SUM(B146:B147)</f>
        <v>24</v>
      </c>
      <c r="C145" s="88">
        <f>SUM(C146:C147)</f>
        <v>22</v>
      </c>
      <c r="D145" s="88">
        <f>SUM(D146:D147)</f>
        <v>46</v>
      </c>
      <c r="E145" s="158"/>
      <c r="F145" s="159"/>
      <c r="G145" s="159"/>
      <c r="H145" s="159"/>
      <c r="I145" s="159"/>
      <c r="J145" s="159"/>
      <c r="K145" s="157"/>
      <c r="L145" s="160" t="s">
        <v>920</v>
      </c>
      <c r="M145" s="159"/>
      <c r="N145" s="159"/>
      <c r="O145" s="157"/>
      <c r="P145" s="66">
        <v>0</v>
      </c>
      <c r="Q145" s="66">
        <v>0</v>
      </c>
      <c r="R145" s="88">
        <f>SUM(P145:Q145)</f>
        <v>0</v>
      </c>
      <c r="S145" s="158"/>
      <c r="T145" s="159"/>
      <c r="U145" s="159"/>
      <c r="V145" s="159"/>
      <c r="W145" s="159"/>
      <c r="X145" s="159"/>
      <c r="Y145" s="157"/>
    </row>
    <row r="146" spans="1:25" customHeight="1" ht="48">
      <c r="A146" s="70" t="s">
        <v>921</v>
      </c>
      <c r="B146" s="66">
        <v>24.0</v>
      </c>
      <c r="C146" s="66">
        <v>22.0</v>
      </c>
      <c r="D146" s="88">
        <f>SUM(B146:C146)</f>
        <v>46</v>
      </c>
      <c r="E146" s="158"/>
      <c r="F146" s="159"/>
      <c r="G146" s="159"/>
      <c r="H146" s="159"/>
      <c r="I146" s="159"/>
      <c r="J146" s="159"/>
      <c r="K146" s="157"/>
      <c r="L146" s="160" t="s">
        <v>922</v>
      </c>
      <c r="M146" s="159"/>
      <c r="N146" s="159"/>
      <c r="O146" s="157"/>
      <c r="P146" s="66">
        <v>0</v>
      </c>
      <c r="Q146" s="66">
        <v>0</v>
      </c>
      <c r="R146" s="88">
        <f>SUM(P146:Q146)</f>
        <v>0</v>
      </c>
      <c r="S146" s="158"/>
      <c r="T146" s="159"/>
      <c r="U146" s="159"/>
      <c r="V146" s="159"/>
      <c r="W146" s="159"/>
      <c r="X146" s="159"/>
      <c r="Y146" s="157"/>
    </row>
    <row r="147" spans="1:25" customHeight="1" ht="48">
      <c r="A147" s="70" t="s">
        <v>923</v>
      </c>
      <c r="B147" s="66"/>
      <c r="C147" s="66"/>
      <c r="D147" s="88">
        <f>SUM(B147:C147)</f>
        <v>0</v>
      </c>
      <c r="E147" s="158"/>
      <c r="F147" s="159"/>
      <c r="G147" s="159"/>
      <c r="H147" s="159"/>
      <c r="I147" s="159"/>
      <c r="J147" s="159"/>
      <c r="K147" s="157"/>
      <c r="L147" s="160" t="s">
        <v>924</v>
      </c>
      <c r="M147" s="159"/>
      <c r="N147" s="159"/>
      <c r="O147" s="157"/>
      <c r="P147" s="88">
        <f>SUM(P148:P149)</f>
        <v>0</v>
      </c>
      <c r="Q147" s="88">
        <f>SUM(Q148:Q149)</f>
        <v>0</v>
      </c>
      <c r="R147" s="88">
        <f>SUM(R148:R149)</f>
        <v>0</v>
      </c>
      <c r="S147" s="158"/>
      <c r="T147" s="159"/>
      <c r="U147" s="159"/>
      <c r="V147" s="159"/>
      <c r="W147" s="159"/>
      <c r="X147" s="159"/>
      <c r="Y147" s="157"/>
    </row>
    <row r="148" spans="1:25" customHeight="1" ht="48">
      <c r="A148" s="70" t="s">
        <v>925</v>
      </c>
      <c r="B148" s="88">
        <f>SUM(B149:B150)</f>
        <v>0</v>
      </c>
      <c r="C148" s="88">
        <f>SUM(C149:C150)</f>
        <v>0</v>
      </c>
      <c r="D148" s="88">
        <f>SUM(D149:D150)</f>
        <v>0</v>
      </c>
      <c r="E148" s="158"/>
      <c r="F148" s="159"/>
      <c r="G148" s="159"/>
      <c r="H148" s="159"/>
      <c r="I148" s="159"/>
      <c r="J148" s="159"/>
      <c r="K148" s="157"/>
      <c r="L148" s="160" t="s">
        <v>926</v>
      </c>
      <c r="M148" s="159"/>
      <c r="N148" s="159"/>
      <c r="O148" s="157"/>
      <c r="P148" s="66">
        <v>0</v>
      </c>
      <c r="Q148" s="66">
        <v>0</v>
      </c>
      <c r="R148" s="88">
        <f>SUM(P148:Q148)</f>
        <v>0</v>
      </c>
      <c r="S148" s="158"/>
      <c r="T148" s="159"/>
      <c r="U148" s="159"/>
      <c r="V148" s="159"/>
      <c r="W148" s="159"/>
      <c r="X148" s="159"/>
      <c r="Y148" s="157"/>
    </row>
    <row r="149" spans="1:25" customHeight="1" ht="48">
      <c r="A149" s="70" t="s">
        <v>927</v>
      </c>
      <c r="B149" s="66"/>
      <c r="C149" s="66"/>
      <c r="D149" s="88">
        <f>SUM(B149:C149)</f>
        <v>0</v>
      </c>
      <c r="E149" s="158"/>
      <c r="F149" s="159"/>
      <c r="G149" s="159"/>
      <c r="H149" s="159"/>
      <c r="I149" s="159"/>
      <c r="J149" s="159"/>
      <c r="K149" s="157"/>
      <c r="L149" s="160" t="s">
        <v>928</v>
      </c>
      <c r="M149" s="159"/>
      <c r="N149" s="159"/>
      <c r="O149" s="157"/>
      <c r="P149" s="66">
        <v>0</v>
      </c>
      <c r="Q149" s="66">
        <v>0</v>
      </c>
      <c r="R149" s="88">
        <f>SUM(P149:Q149)</f>
        <v>0</v>
      </c>
      <c r="S149" s="158"/>
      <c r="T149" s="159"/>
      <c r="U149" s="159"/>
      <c r="V149" s="159"/>
      <c r="W149" s="159"/>
      <c r="X149" s="159"/>
      <c r="Y149" s="157"/>
    </row>
    <row r="150" spans="1:25" customHeight="1" ht="48">
      <c r="A150" s="77" t="s">
        <v>929</v>
      </c>
      <c r="B150" s="75"/>
      <c r="C150" s="75"/>
      <c r="D150" s="98">
        <f>SUM(B150:C150)</f>
        <v>0</v>
      </c>
      <c r="E150" s="163"/>
      <c r="F150" s="164"/>
      <c r="G150" s="164"/>
      <c r="H150" s="164"/>
      <c r="I150" s="164"/>
      <c r="J150" s="164"/>
      <c r="K150" s="165"/>
      <c r="L150" s="173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5"/>
    </row>
    <row r="151" spans="1:25">
      <c r="A151" s="148" t="s">
        <v>773</v>
      </c>
      <c r="B151" s="133" t="s">
        <v>734</v>
      </c>
      <c r="C151" s="134"/>
      <c r="D151" s="135"/>
      <c r="E151" s="136" t="s">
        <v>833</v>
      </c>
      <c r="F151" s="127" t="s">
        <v>736</v>
      </c>
      <c r="G151" s="128"/>
      <c r="H151" s="128"/>
      <c r="I151" s="128"/>
      <c r="J151" s="128"/>
      <c r="K151" s="129"/>
      <c r="L151" s="152" t="s">
        <v>773</v>
      </c>
      <c r="M151" s="128"/>
      <c r="N151" s="128"/>
      <c r="O151" s="129"/>
      <c r="P151" s="133" t="s">
        <v>734</v>
      </c>
      <c r="Q151" s="134"/>
      <c r="R151" s="135"/>
      <c r="S151" s="136" t="s">
        <v>833</v>
      </c>
      <c r="T151" s="127" t="s">
        <v>736</v>
      </c>
      <c r="U151" s="128"/>
      <c r="V151" s="128"/>
      <c r="W151" s="128"/>
      <c r="X151" s="128"/>
      <c r="Y151" s="129"/>
    </row>
    <row r="152" spans="1:25">
      <c r="A152" s="137"/>
      <c r="B152" s="99">
        <v>45944</v>
      </c>
      <c r="C152" s="63" t="s">
        <v>751</v>
      </c>
      <c r="D152" s="63" t="s">
        <v>752</v>
      </c>
      <c r="E152" s="137"/>
      <c r="F152" s="130"/>
      <c r="G152" s="131"/>
      <c r="H152" s="131"/>
      <c r="I152" s="131"/>
      <c r="J152" s="131"/>
      <c r="K152" s="132"/>
      <c r="L152" s="130"/>
      <c r="M152" s="131"/>
      <c r="N152" s="131"/>
      <c r="O152" s="132"/>
      <c r="P152" s="99">
        <v>45944</v>
      </c>
      <c r="Q152" s="63" t="s">
        <v>751</v>
      </c>
      <c r="R152" s="63" t="s">
        <v>752</v>
      </c>
      <c r="S152" s="137"/>
      <c r="T152" s="130"/>
      <c r="U152" s="131"/>
      <c r="V152" s="131"/>
      <c r="W152" s="131"/>
      <c r="X152" s="131"/>
      <c r="Y152" s="132"/>
    </row>
    <row r="153" spans="1:25" customHeight="1" ht="36">
      <c r="A153" s="95" t="s">
        <v>930</v>
      </c>
      <c r="B153" s="97">
        <f>SUM(B154:B155)</f>
        <v>3</v>
      </c>
      <c r="C153" s="97">
        <f>SUM(C154:C155)</f>
        <v>3333</v>
      </c>
      <c r="D153" s="97">
        <f>SUM(D154:D155)</f>
        <v>123</v>
      </c>
      <c r="E153" s="97">
        <f>SUM(B153:D153)</f>
        <v>3459</v>
      </c>
      <c r="F153" s="193"/>
      <c r="G153" s="154"/>
      <c r="H153" s="154"/>
      <c r="I153" s="154"/>
      <c r="J153" s="154"/>
      <c r="K153" s="155"/>
      <c r="L153" s="184" t="s">
        <v>931</v>
      </c>
      <c r="M153" s="154"/>
      <c r="N153" s="154"/>
      <c r="O153" s="155"/>
      <c r="P153" s="97">
        <f>SUM(P154:P155)</f>
        <v>0</v>
      </c>
      <c r="Q153" s="97">
        <f>SUM(Q154:Q155)</f>
        <v>0</v>
      </c>
      <c r="R153" s="97">
        <f>SUM(R154:R155)</f>
        <v>0</v>
      </c>
      <c r="S153" s="97">
        <f>SUM(P153:R153)</f>
        <v>0</v>
      </c>
      <c r="T153" s="193"/>
      <c r="U153" s="154"/>
      <c r="V153" s="154"/>
      <c r="W153" s="154"/>
      <c r="X153" s="154"/>
      <c r="Y153" s="155"/>
    </row>
    <row r="154" spans="1:25" customHeight="1" ht="48">
      <c r="A154" s="70" t="s">
        <v>932</v>
      </c>
      <c r="B154" s="66"/>
      <c r="C154" s="66"/>
      <c r="D154" s="66"/>
      <c r="E154" s="88">
        <f>SUM(B154:D154)</f>
        <v>0</v>
      </c>
      <c r="F154" s="158"/>
      <c r="G154" s="159"/>
      <c r="H154" s="159"/>
      <c r="I154" s="159"/>
      <c r="J154" s="159"/>
      <c r="K154" s="157"/>
      <c r="L154" s="160" t="s">
        <v>933</v>
      </c>
      <c r="M154" s="159"/>
      <c r="N154" s="159"/>
      <c r="O154" s="157"/>
      <c r="P154" s="66">
        <v>0</v>
      </c>
      <c r="Q154" s="66">
        <v>0</v>
      </c>
      <c r="R154" s="66">
        <v>0</v>
      </c>
      <c r="S154" s="88">
        <f>SUM(P154:R154)</f>
        <v>0</v>
      </c>
      <c r="T154" s="158"/>
      <c r="U154" s="159"/>
      <c r="V154" s="159"/>
      <c r="W154" s="159"/>
      <c r="X154" s="159"/>
      <c r="Y154" s="157"/>
    </row>
    <row r="155" spans="1:25" customHeight="1" ht="48">
      <c r="A155" s="89" t="s">
        <v>934</v>
      </c>
      <c r="B155" s="90">
        <v>3.0</v>
      </c>
      <c r="C155" s="90">
        <v>3333.0</v>
      </c>
      <c r="D155" s="90">
        <v>123.0</v>
      </c>
      <c r="E155" s="100">
        <f>SUM(B155:D155)</f>
        <v>3459</v>
      </c>
      <c r="F155" s="180"/>
      <c r="G155" s="181"/>
      <c r="H155" s="181"/>
      <c r="I155" s="181"/>
      <c r="J155" s="181"/>
      <c r="K155" s="179"/>
      <c r="L155" s="195" t="s">
        <v>935</v>
      </c>
      <c r="M155" s="181"/>
      <c r="N155" s="181"/>
      <c r="O155" s="179"/>
      <c r="P155" s="90">
        <v>0</v>
      </c>
      <c r="Q155" s="90">
        <v>0</v>
      </c>
      <c r="R155" s="90">
        <v>0</v>
      </c>
      <c r="S155" s="100">
        <f>SUM(P155:R155)</f>
        <v>0</v>
      </c>
      <c r="T155" s="180"/>
      <c r="U155" s="181"/>
      <c r="V155" s="181"/>
      <c r="W155" s="181"/>
      <c r="X155" s="181"/>
      <c r="Y155" s="179"/>
    </row>
    <row r="156" spans="1:25">
      <c r="A156" s="142" t="s">
        <v>936</v>
      </c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5"/>
    </row>
    <row r="157" spans="1:25">
      <c r="A157" s="148" t="s">
        <v>773</v>
      </c>
      <c r="B157" s="133" t="s">
        <v>830</v>
      </c>
      <c r="C157" s="135"/>
      <c r="D157" s="136" t="s">
        <v>833</v>
      </c>
      <c r="E157" s="127" t="s">
        <v>736</v>
      </c>
      <c r="F157" s="128"/>
      <c r="G157" s="128"/>
      <c r="H157" s="128"/>
      <c r="I157" s="128"/>
      <c r="J157" s="128"/>
      <c r="K157" s="129"/>
      <c r="L157" s="152" t="s">
        <v>773</v>
      </c>
      <c r="M157" s="128"/>
      <c r="N157" s="128"/>
      <c r="O157" s="129"/>
      <c r="P157" s="133" t="s">
        <v>830</v>
      </c>
      <c r="Q157" s="135"/>
      <c r="R157" s="136" t="s">
        <v>833</v>
      </c>
      <c r="S157" s="127" t="s">
        <v>736</v>
      </c>
      <c r="T157" s="128"/>
      <c r="U157" s="128"/>
      <c r="V157" s="128"/>
      <c r="W157" s="128"/>
      <c r="X157" s="128"/>
      <c r="Y157" s="129"/>
    </row>
    <row r="158" spans="1:25">
      <c r="A158" s="137"/>
      <c r="B158" s="63" t="s">
        <v>831</v>
      </c>
      <c r="C158" s="63" t="s">
        <v>832</v>
      </c>
      <c r="D158" s="137"/>
      <c r="E158" s="130"/>
      <c r="F158" s="131"/>
      <c r="G158" s="131"/>
      <c r="H158" s="131"/>
      <c r="I158" s="131"/>
      <c r="J158" s="131"/>
      <c r="K158" s="132"/>
      <c r="L158" s="130"/>
      <c r="M158" s="131"/>
      <c r="N158" s="131"/>
      <c r="O158" s="132"/>
      <c r="P158" s="63" t="s">
        <v>831</v>
      </c>
      <c r="Q158" s="63" t="s">
        <v>832</v>
      </c>
      <c r="R158" s="137"/>
      <c r="S158" s="130"/>
      <c r="T158" s="131"/>
      <c r="U158" s="131"/>
      <c r="V158" s="131"/>
      <c r="W158" s="131"/>
      <c r="X158" s="131"/>
      <c r="Y158" s="132"/>
    </row>
    <row r="159" spans="1:25">
      <c r="A159" s="196" t="s">
        <v>937</v>
      </c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spans="1:25" customHeight="1" ht="36">
      <c r="A160" s="70" t="s">
        <v>938</v>
      </c>
      <c r="B160" s="66"/>
      <c r="C160" s="66"/>
      <c r="D160" s="88">
        <f>SUM(B160:C160)</f>
        <v>0</v>
      </c>
      <c r="E160" s="158"/>
      <c r="F160" s="159"/>
      <c r="G160" s="159"/>
      <c r="H160" s="159"/>
      <c r="I160" s="159"/>
      <c r="J160" s="159"/>
      <c r="K160" s="157"/>
      <c r="L160" s="160" t="s">
        <v>939</v>
      </c>
      <c r="M160" s="159"/>
      <c r="N160" s="159"/>
      <c r="O160" s="157"/>
      <c r="P160" s="66"/>
      <c r="Q160" s="66"/>
      <c r="R160" s="88">
        <f>SUM(P160:Q160)</f>
        <v>0</v>
      </c>
      <c r="S160" s="158"/>
      <c r="T160" s="159"/>
      <c r="U160" s="159"/>
      <c r="V160" s="159"/>
      <c r="W160" s="159"/>
      <c r="X160" s="159"/>
      <c r="Y160" s="157"/>
    </row>
    <row r="161" spans="1:25">
      <c r="A161" s="70" t="s">
        <v>940</v>
      </c>
      <c r="B161" s="66"/>
      <c r="C161" s="66"/>
      <c r="D161" s="88">
        <f>SUM(B161:C161)</f>
        <v>0</v>
      </c>
      <c r="E161" s="158"/>
      <c r="F161" s="159"/>
      <c r="G161" s="159"/>
      <c r="H161" s="159"/>
      <c r="I161" s="159"/>
      <c r="J161" s="159"/>
      <c r="K161" s="157"/>
      <c r="L161" s="160" t="s">
        <v>941</v>
      </c>
      <c r="M161" s="159"/>
      <c r="N161" s="159"/>
      <c r="O161" s="157"/>
      <c r="P161" s="66"/>
      <c r="Q161" s="66"/>
      <c r="R161" s="88">
        <f>SUM(P161:Q161)</f>
        <v>0</v>
      </c>
      <c r="S161" s="158"/>
      <c r="T161" s="159"/>
      <c r="U161" s="159"/>
      <c r="V161" s="159"/>
      <c r="W161" s="159"/>
      <c r="X161" s="159"/>
      <c r="Y161" s="157"/>
    </row>
    <row r="162" spans="1:25">
      <c r="A162" s="70" t="s">
        <v>942</v>
      </c>
      <c r="B162" s="66"/>
      <c r="C162" s="66"/>
      <c r="D162" s="88">
        <f>SUM(B162:C162)</f>
        <v>0</v>
      </c>
      <c r="E162" s="158"/>
      <c r="F162" s="159"/>
      <c r="G162" s="159"/>
      <c r="H162" s="159"/>
      <c r="I162" s="159"/>
      <c r="J162" s="159"/>
      <c r="K162" s="157"/>
      <c r="L162" s="160" t="s">
        <v>943</v>
      </c>
      <c r="M162" s="159"/>
      <c r="N162" s="159"/>
      <c r="O162" s="157"/>
      <c r="P162" s="66"/>
      <c r="Q162" s="66"/>
      <c r="R162" s="88">
        <f>SUM(P162:Q162)</f>
        <v>0</v>
      </c>
      <c r="S162" s="158"/>
      <c r="T162" s="159"/>
      <c r="U162" s="159"/>
      <c r="V162" s="159"/>
      <c r="W162" s="159"/>
      <c r="X162" s="159"/>
      <c r="Y162" s="157"/>
    </row>
    <row r="163" spans="1:25">
      <c r="A163" s="70" t="s">
        <v>944</v>
      </c>
      <c r="B163" s="66"/>
      <c r="C163" s="66"/>
      <c r="D163" s="88">
        <f>SUM(B163:C163)</f>
        <v>0</v>
      </c>
      <c r="E163" s="158"/>
      <c r="F163" s="159"/>
      <c r="G163" s="159"/>
      <c r="H163" s="159"/>
      <c r="I163" s="159"/>
      <c r="J163" s="159"/>
      <c r="K163" s="157"/>
      <c r="L163" s="160" t="s">
        <v>945</v>
      </c>
      <c r="M163" s="159"/>
      <c r="N163" s="159"/>
      <c r="O163" s="157"/>
      <c r="P163" s="66"/>
      <c r="Q163" s="66"/>
      <c r="R163" s="88">
        <f>SUM(P163:Q163)</f>
        <v>0</v>
      </c>
      <c r="S163" s="158"/>
      <c r="T163" s="159"/>
      <c r="U163" s="159"/>
      <c r="V163" s="159"/>
      <c r="W163" s="159"/>
      <c r="X163" s="159"/>
      <c r="Y163" s="157"/>
    </row>
    <row r="164" spans="1:25">
      <c r="A164" s="70" t="s">
        <v>946</v>
      </c>
      <c r="B164" s="66"/>
      <c r="C164" s="66"/>
      <c r="D164" s="88">
        <f>SUM(B164:C164)</f>
        <v>0</v>
      </c>
      <c r="E164" s="158"/>
      <c r="F164" s="159"/>
      <c r="G164" s="159"/>
      <c r="H164" s="159"/>
      <c r="I164" s="159"/>
      <c r="J164" s="159"/>
      <c r="K164" s="157"/>
      <c r="L164" s="160" t="s">
        <v>947</v>
      </c>
      <c r="M164" s="159"/>
      <c r="N164" s="159"/>
      <c r="O164" s="157"/>
      <c r="P164" s="66"/>
      <c r="Q164" s="66"/>
      <c r="R164" s="88">
        <f>SUM(P164:Q164)</f>
        <v>0</v>
      </c>
      <c r="S164" s="158"/>
      <c r="T164" s="159"/>
      <c r="U164" s="159"/>
      <c r="V164" s="159"/>
      <c r="W164" s="159"/>
      <c r="X164" s="159"/>
      <c r="Y164" s="157"/>
    </row>
    <row r="165" spans="1:25">
      <c r="A165" s="70" t="s">
        <v>948</v>
      </c>
      <c r="B165" s="66">
        <v>27.0</v>
      </c>
      <c r="C165" s="66">
        <v>2.0</v>
      </c>
      <c r="D165" s="88">
        <f>SUM(B165:C165)</f>
        <v>29</v>
      </c>
      <c r="E165" s="158"/>
      <c r="F165" s="159"/>
      <c r="G165" s="159"/>
      <c r="H165" s="159"/>
      <c r="I165" s="159"/>
      <c r="J165" s="159"/>
      <c r="K165" s="157"/>
      <c r="L165" s="160" t="s">
        <v>949</v>
      </c>
      <c r="M165" s="159"/>
      <c r="N165" s="159"/>
      <c r="O165" s="157"/>
      <c r="P165" s="66"/>
      <c r="Q165" s="66"/>
      <c r="R165" s="88">
        <f>SUM(P165:Q165)</f>
        <v>0</v>
      </c>
      <c r="S165" s="158"/>
      <c r="T165" s="159"/>
      <c r="U165" s="159"/>
      <c r="V165" s="159"/>
      <c r="W165" s="159"/>
      <c r="X165" s="159"/>
      <c r="Y165" s="157"/>
    </row>
    <row r="166" spans="1:25">
      <c r="A166" s="70" t="s">
        <v>950</v>
      </c>
      <c r="B166" s="66"/>
      <c r="C166" s="66"/>
      <c r="D166" s="88">
        <f>SUM(B166:C166)</f>
        <v>0</v>
      </c>
      <c r="E166" s="158"/>
      <c r="F166" s="159"/>
      <c r="G166" s="159"/>
      <c r="H166" s="159"/>
      <c r="I166" s="159"/>
      <c r="J166" s="159"/>
      <c r="K166" s="157"/>
      <c r="L166" s="160" t="s">
        <v>951</v>
      </c>
      <c r="M166" s="159"/>
      <c r="N166" s="159"/>
      <c r="O166" s="157"/>
      <c r="P166" s="66"/>
      <c r="Q166" s="66"/>
      <c r="R166" s="88">
        <f>SUM(P166:Q166)</f>
        <v>0</v>
      </c>
      <c r="S166" s="158"/>
      <c r="T166" s="159"/>
      <c r="U166" s="159"/>
      <c r="V166" s="159"/>
      <c r="W166" s="159"/>
      <c r="X166" s="159"/>
      <c r="Y166" s="157"/>
    </row>
    <row r="167" spans="1:25">
      <c r="A167" s="196" t="s">
        <v>952</v>
      </c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96" t="s">
        <v>953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</row>
    <row r="168" spans="1:25" customHeight="1" ht="36">
      <c r="A168" s="70" t="s">
        <v>954</v>
      </c>
      <c r="B168" s="66"/>
      <c r="C168" s="66"/>
      <c r="D168" s="88">
        <f>SUM(B168:C168)</f>
        <v>0</v>
      </c>
      <c r="E168" s="158"/>
      <c r="F168" s="159"/>
      <c r="G168" s="159"/>
      <c r="H168" s="159"/>
      <c r="I168" s="159"/>
      <c r="J168" s="159"/>
      <c r="K168" s="157"/>
      <c r="L168" s="160" t="s">
        <v>955</v>
      </c>
      <c r="M168" s="159"/>
      <c r="N168" s="159"/>
      <c r="O168" s="157"/>
      <c r="P168" s="66">
        <v>3.0</v>
      </c>
      <c r="Q168" s="66">
        <v>0.0</v>
      </c>
      <c r="R168" s="88">
        <f>SUM(P168:Q168)</f>
        <v>3</v>
      </c>
      <c r="S168" s="158"/>
      <c r="T168" s="159"/>
      <c r="U168" s="159"/>
      <c r="V168" s="159"/>
      <c r="W168" s="159"/>
      <c r="X168" s="159"/>
      <c r="Y168" s="157"/>
    </row>
    <row r="169" spans="1:25" customHeight="1" ht="36">
      <c r="A169" s="70" t="s">
        <v>956</v>
      </c>
      <c r="B169" s="88">
        <f>SUM(B170:B171)</f>
        <v>0</v>
      </c>
      <c r="C169" s="88">
        <f>SUM(C170:C171)</f>
        <v>0</v>
      </c>
      <c r="D169" s="88">
        <f>SUM(B169:C169)</f>
        <v>0</v>
      </c>
      <c r="E169" s="158"/>
      <c r="F169" s="159"/>
      <c r="G169" s="159"/>
      <c r="H169" s="159"/>
      <c r="I169" s="159"/>
      <c r="J169" s="159"/>
      <c r="K169" s="157"/>
      <c r="L169" s="160" t="s">
        <v>957</v>
      </c>
      <c r="M169" s="159"/>
      <c r="N169" s="159"/>
      <c r="O169" s="157"/>
      <c r="P169" s="88">
        <f>SUM(P170:P171)</f>
        <v>0</v>
      </c>
      <c r="Q169" s="88">
        <f>SUM(Q170:Q171)</f>
        <v>0</v>
      </c>
      <c r="R169" s="88">
        <f>SUM(P169:Q169)</f>
        <v>0</v>
      </c>
      <c r="S169" s="158"/>
      <c r="T169" s="159"/>
      <c r="U169" s="159"/>
      <c r="V169" s="159"/>
      <c r="W169" s="159"/>
      <c r="X169" s="159"/>
      <c r="Y169" s="157"/>
    </row>
    <row r="170" spans="1:25">
      <c r="A170" s="70" t="s">
        <v>958</v>
      </c>
      <c r="B170" s="66"/>
      <c r="C170" s="66"/>
      <c r="D170" s="88">
        <f>SUM(B170:C170)</f>
        <v>0</v>
      </c>
      <c r="E170" s="158"/>
      <c r="F170" s="159"/>
      <c r="G170" s="159"/>
      <c r="H170" s="159"/>
      <c r="I170" s="159"/>
      <c r="J170" s="159"/>
      <c r="K170" s="157"/>
      <c r="L170" s="160" t="s">
        <v>958</v>
      </c>
      <c r="M170" s="159"/>
      <c r="N170" s="159"/>
      <c r="O170" s="157"/>
      <c r="P170" s="66"/>
      <c r="Q170" s="66"/>
      <c r="R170" s="88">
        <f>SUM(P170:Q170)</f>
        <v>0</v>
      </c>
      <c r="S170" s="158"/>
      <c r="T170" s="159"/>
      <c r="U170" s="159"/>
      <c r="V170" s="159"/>
      <c r="W170" s="159"/>
      <c r="X170" s="159"/>
      <c r="Y170" s="157"/>
    </row>
    <row r="171" spans="1:25">
      <c r="A171" s="70" t="s">
        <v>959</v>
      </c>
      <c r="B171" s="66"/>
      <c r="C171" s="66"/>
      <c r="D171" s="88">
        <f>SUM(B171:C171)</f>
        <v>0</v>
      </c>
      <c r="E171" s="158"/>
      <c r="F171" s="159"/>
      <c r="G171" s="159"/>
      <c r="H171" s="159"/>
      <c r="I171" s="159"/>
      <c r="J171" s="159"/>
      <c r="K171" s="157"/>
      <c r="L171" s="160" t="s">
        <v>959</v>
      </c>
      <c r="M171" s="159"/>
      <c r="N171" s="159"/>
      <c r="O171" s="157"/>
      <c r="P171" s="66"/>
      <c r="Q171" s="66"/>
      <c r="R171" s="88">
        <f>SUM(P171:Q171)</f>
        <v>0</v>
      </c>
      <c r="S171" s="158"/>
      <c r="T171" s="159"/>
      <c r="U171" s="159"/>
      <c r="V171" s="159"/>
      <c r="W171" s="159"/>
      <c r="X171" s="159"/>
      <c r="Y171" s="157"/>
    </row>
    <row r="172" spans="1:25" customHeight="1" ht="48">
      <c r="A172" s="70" t="s">
        <v>960</v>
      </c>
      <c r="B172" s="66"/>
      <c r="C172" s="66"/>
      <c r="D172" s="88">
        <f>SUM(B172:C172)</f>
        <v>0</v>
      </c>
      <c r="E172" s="158"/>
      <c r="F172" s="159"/>
      <c r="G172" s="159"/>
      <c r="H172" s="159"/>
      <c r="I172" s="159"/>
      <c r="J172" s="159"/>
      <c r="K172" s="157"/>
      <c r="L172" s="160" t="s">
        <v>961</v>
      </c>
      <c r="M172" s="159"/>
      <c r="N172" s="159"/>
      <c r="O172" s="157"/>
      <c r="P172" s="66"/>
      <c r="Q172" s="66"/>
      <c r="R172" s="88">
        <f>SUM(P172:Q172)</f>
        <v>0</v>
      </c>
      <c r="S172" s="158"/>
      <c r="T172" s="159"/>
      <c r="U172" s="159"/>
      <c r="V172" s="159"/>
      <c r="W172" s="159"/>
      <c r="X172" s="159"/>
      <c r="Y172" s="157"/>
    </row>
    <row r="173" spans="1:25" customHeight="1" ht="36">
      <c r="A173" s="70" t="s">
        <v>962</v>
      </c>
      <c r="B173" s="88">
        <f>SUM(B174:B175)</f>
        <v>39</v>
      </c>
      <c r="C173" s="88">
        <f>SUM(C174:C175)</f>
        <v>2</v>
      </c>
      <c r="D173" s="88">
        <f>SUM(B173:C173)</f>
        <v>41</v>
      </c>
      <c r="E173" s="158"/>
      <c r="F173" s="159"/>
      <c r="G173" s="159"/>
      <c r="H173" s="159"/>
      <c r="I173" s="159"/>
      <c r="J173" s="159"/>
      <c r="K173" s="157"/>
      <c r="L173" s="160" t="s">
        <v>963</v>
      </c>
      <c r="M173" s="159"/>
      <c r="N173" s="159"/>
      <c r="O173" s="157"/>
      <c r="P173" s="88">
        <f>SUM(P174:P175)</f>
        <v>0</v>
      </c>
      <c r="Q173" s="88">
        <f>SUM(Q174:Q175)</f>
        <v>0</v>
      </c>
      <c r="R173" s="88">
        <f>SUM(P173:Q173)</f>
        <v>0</v>
      </c>
      <c r="S173" s="158"/>
      <c r="T173" s="159"/>
      <c r="U173" s="159"/>
      <c r="V173" s="159"/>
      <c r="W173" s="159"/>
      <c r="X173" s="159"/>
      <c r="Y173" s="157"/>
    </row>
    <row r="174" spans="1:25">
      <c r="A174" s="70" t="s">
        <v>964</v>
      </c>
      <c r="B174" s="66"/>
      <c r="C174" s="66"/>
      <c r="D174" s="88">
        <f>SUM(B174:C174)</f>
        <v>0</v>
      </c>
      <c r="E174" s="158"/>
      <c r="F174" s="159"/>
      <c r="G174" s="159"/>
      <c r="H174" s="159"/>
      <c r="I174" s="159"/>
      <c r="J174" s="159"/>
      <c r="K174" s="157"/>
      <c r="L174" s="160" t="s">
        <v>964</v>
      </c>
      <c r="M174" s="159"/>
      <c r="N174" s="159"/>
      <c r="O174" s="157"/>
      <c r="P174" s="66"/>
      <c r="Q174" s="66"/>
      <c r="R174" s="88">
        <f>SUM(P174:Q174)</f>
        <v>0</v>
      </c>
      <c r="S174" s="158"/>
      <c r="T174" s="159"/>
      <c r="U174" s="159"/>
      <c r="V174" s="159"/>
      <c r="W174" s="159"/>
      <c r="X174" s="159"/>
      <c r="Y174" s="157"/>
    </row>
    <row r="175" spans="1:25">
      <c r="A175" s="70" t="s">
        <v>965</v>
      </c>
      <c r="B175" s="66">
        <v>39.0</v>
      </c>
      <c r="C175" s="66">
        <v>2.0</v>
      </c>
      <c r="D175" s="88">
        <f>SUM(B175:C175)</f>
        <v>41</v>
      </c>
      <c r="E175" s="158"/>
      <c r="F175" s="159"/>
      <c r="G175" s="159"/>
      <c r="H175" s="159"/>
      <c r="I175" s="159"/>
      <c r="J175" s="159"/>
      <c r="K175" s="157"/>
      <c r="L175" s="160" t="s">
        <v>965</v>
      </c>
      <c r="M175" s="159"/>
      <c r="N175" s="159"/>
      <c r="O175" s="157"/>
      <c r="P175" s="66"/>
      <c r="Q175" s="66"/>
      <c r="R175" s="88">
        <f>SUM(P175:Q175)</f>
        <v>0</v>
      </c>
      <c r="S175" s="158"/>
      <c r="T175" s="159"/>
      <c r="U175" s="159"/>
      <c r="V175" s="159"/>
      <c r="W175" s="159"/>
      <c r="X175" s="159"/>
      <c r="Y175" s="157"/>
    </row>
    <row r="176" spans="1:25">
      <c r="A176" s="148" t="s">
        <v>773</v>
      </c>
      <c r="B176" s="133" t="s">
        <v>830</v>
      </c>
      <c r="C176" s="135"/>
      <c r="D176" s="136" t="s">
        <v>833</v>
      </c>
      <c r="E176" s="127" t="s">
        <v>736</v>
      </c>
      <c r="F176" s="128"/>
      <c r="G176" s="128"/>
      <c r="H176" s="128"/>
      <c r="I176" s="128"/>
      <c r="J176" s="128"/>
      <c r="K176" s="129"/>
      <c r="L176" s="152" t="s">
        <v>773</v>
      </c>
      <c r="M176" s="128"/>
      <c r="N176" s="128"/>
      <c r="O176" s="129"/>
      <c r="P176" s="133" t="s">
        <v>830</v>
      </c>
      <c r="Q176" s="135"/>
      <c r="R176" s="136" t="s">
        <v>833</v>
      </c>
      <c r="S176" s="127" t="s">
        <v>736</v>
      </c>
      <c r="T176" s="128"/>
      <c r="U176" s="128"/>
      <c r="V176" s="128"/>
      <c r="W176" s="128"/>
      <c r="X176" s="128"/>
      <c r="Y176" s="129"/>
    </row>
    <row r="177" spans="1:25">
      <c r="A177" s="137"/>
      <c r="B177" s="63" t="s">
        <v>831</v>
      </c>
      <c r="C177" s="63" t="s">
        <v>832</v>
      </c>
      <c r="D177" s="137"/>
      <c r="E177" s="130"/>
      <c r="F177" s="131"/>
      <c r="G177" s="131"/>
      <c r="H177" s="131"/>
      <c r="I177" s="131"/>
      <c r="J177" s="131"/>
      <c r="K177" s="132"/>
      <c r="L177" s="130"/>
      <c r="M177" s="131"/>
      <c r="N177" s="131"/>
      <c r="O177" s="132"/>
      <c r="P177" s="63" t="s">
        <v>831</v>
      </c>
      <c r="Q177" s="63" t="s">
        <v>832</v>
      </c>
      <c r="R177" s="137"/>
      <c r="S177" s="130"/>
      <c r="T177" s="131"/>
      <c r="U177" s="131"/>
      <c r="V177" s="131"/>
      <c r="W177" s="131"/>
      <c r="X177" s="131"/>
      <c r="Y177" s="132"/>
    </row>
    <row r="178" spans="1:25">
      <c r="A178" s="196" t="s">
        <v>966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96" t="s">
        <v>967</v>
      </c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</row>
    <row r="179" spans="1:25" customHeight="1" ht="36">
      <c r="A179" s="70" t="s">
        <v>968</v>
      </c>
      <c r="B179" s="66"/>
      <c r="C179" s="66"/>
      <c r="D179" s="88">
        <f>SUM(B179:C179)</f>
        <v>0</v>
      </c>
      <c r="E179" s="158"/>
      <c r="F179" s="159"/>
      <c r="G179" s="159"/>
      <c r="H179" s="159"/>
      <c r="I179" s="159"/>
      <c r="J179" s="159"/>
      <c r="K179" s="157"/>
      <c r="L179" s="160" t="s">
        <v>969</v>
      </c>
      <c r="M179" s="159"/>
      <c r="N179" s="159"/>
      <c r="O179" s="157"/>
      <c r="P179" s="66"/>
      <c r="Q179" s="66"/>
      <c r="R179" s="88">
        <f>SUM(P179:Q179)</f>
        <v>0</v>
      </c>
      <c r="S179" s="158"/>
      <c r="T179" s="159"/>
      <c r="U179" s="159"/>
      <c r="V179" s="159"/>
      <c r="W179" s="159"/>
      <c r="X179" s="159"/>
      <c r="Y179" s="157"/>
    </row>
    <row r="180" spans="1:25" customHeight="1" ht="48">
      <c r="A180" s="70" t="s">
        <v>970</v>
      </c>
      <c r="B180" s="66"/>
      <c r="C180" s="66"/>
      <c r="D180" s="88">
        <f>SUM(B180:C180)</f>
        <v>0</v>
      </c>
      <c r="E180" s="158"/>
      <c r="F180" s="159"/>
      <c r="G180" s="159"/>
      <c r="H180" s="159"/>
      <c r="I180" s="159"/>
      <c r="J180" s="159"/>
      <c r="K180" s="157"/>
      <c r="L180" s="160" t="s">
        <v>971</v>
      </c>
      <c r="M180" s="159"/>
      <c r="N180" s="159"/>
      <c r="O180" s="157"/>
      <c r="P180" s="66"/>
      <c r="Q180" s="66"/>
      <c r="R180" s="88">
        <f>SUM(P180:Q180)</f>
        <v>0</v>
      </c>
      <c r="S180" s="158"/>
      <c r="T180" s="159"/>
      <c r="U180" s="159"/>
      <c r="V180" s="159"/>
      <c r="W180" s="159"/>
      <c r="X180" s="159"/>
      <c r="Y180" s="157"/>
    </row>
    <row r="181" spans="1:25" customHeight="1" ht="36">
      <c r="A181" s="70" t="s">
        <v>972</v>
      </c>
      <c r="B181" s="66"/>
      <c r="C181" s="66"/>
      <c r="D181" s="88">
        <f>SUM(B181:C181)</f>
        <v>0</v>
      </c>
      <c r="E181" s="158"/>
      <c r="F181" s="159"/>
      <c r="G181" s="159"/>
      <c r="H181" s="159"/>
      <c r="I181" s="159"/>
      <c r="J181" s="159"/>
      <c r="K181" s="157"/>
      <c r="L181" s="160" t="s">
        <v>973</v>
      </c>
      <c r="M181" s="159"/>
      <c r="N181" s="159"/>
      <c r="O181" s="157"/>
      <c r="P181" s="66"/>
      <c r="Q181" s="66"/>
      <c r="R181" s="88">
        <f>SUM(P181:Q181)</f>
        <v>0</v>
      </c>
      <c r="S181" s="158"/>
      <c r="T181" s="159"/>
      <c r="U181" s="159"/>
      <c r="V181" s="159"/>
      <c r="W181" s="159"/>
      <c r="X181" s="159"/>
      <c r="Y181" s="157"/>
    </row>
    <row r="182" spans="1:25">
      <c r="A182" s="198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60" t="s">
        <v>974</v>
      </c>
      <c r="M182" s="159"/>
      <c r="N182" s="159"/>
      <c r="O182" s="157"/>
      <c r="P182" s="66"/>
      <c r="Q182" s="66"/>
      <c r="R182" s="88">
        <f>SUM(P182:Q182)</f>
        <v>0</v>
      </c>
      <c r="S182" s="158"/>
      <c r="T182" s="159"/>
      <c r="U182" s="159"/>
      <c r="V182" s="159"/>
      <c r="W182" s="159"/>
      <c r="X182" s="159"/>
      <c r="Y182" s="157"/>
    </row>
    <row r="183" spans="1:25">
      <c r="A183" s="197" t="s">
        <v>975</v>
      </c>
      <c r="B183" s="159"/>
      <c r="C183" s="159"/>
      <c r="D183" s="159"/>
      <c r="E183" s="159"/>
      <c r="F183" s="159"/>
      <c r="G183" s="159"/>
      <c r="H183" s="159"/>
      <c r="I183" s="159"/>
      <c r="J183" s="159"/>
      <c r="K183" s="157"/>
      <c r="L183" s="197" t="s">
        <v>976</v>
      </c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7"/>
    </row>
    <row r="184" spans="1:25" customHeight="1" ht="36">
      <c r="A184" s="70" t="s">
        <v>977</v>
      </c>
      <c r="B184" s="88">
        <f>SUM(B185:B188)</f>
        <v>0</v>
      </c>
      <c r="C184" s="88">
        <f>SUM(C185:C188)</f>
        <v>0</v>
      </c>
      <c r="D184" s="88">
        <f>SUM(B184:C184)</f>
        <v>0</v>
      </c>
      <c r="E184" s="158"/>
      <c r="F184" s="159"/>
      <c r="G184" s="159"/>
      <c r="H184" s="159"/>
      <c r="I184" s="159"/>
      <c r="J184" s="159"/>
      <c r="K184" s="157"/>
      <c r="L184" s="160" t="s">
        <v>978</v>
      </c>
      <c r="M184" s="159"/>
      <c r="N184" s="159"/>
      <c r="O184" s="157"/>
      <c r="P184" s="66"/>
      <c r="Q184" s="66"/>
      <c r="R184" s="88">
        <f>SUM(P184:Q184)</f>
        <v>0</v>
      </c>
      <c r="S184" s="158"/>
      <c r="T184" s="159"/>
      <c r="U184" s="159"/>
      <c r="V184" s="159"/>
      <c r="W184" s="159"/>
      <c r="X184" s="159"/>
      <c r="Y184" s="157"/>
    </row>
    <row r="185" spans="1:25">
      <c r="A185" s="70" t="s">
        <v>979</v>
      </c>
      <c r="B185" s="66"/>
      <c r="C185" s="66"/>
      <c r="D185" s="88">
        <f>SUM(B185:C185)</f>
        <v>0</v>
      </c>
      <c r="E185" s="158"/>
      <c r="F185" s="159"/>
      <c r="G185" s="159"/>
      <c r="H185" s="159"/>
      <c r="I185" s="159"/>
      <c r="J185" s="159"/>
      <c r="K185" s="157"/>
      <c r="L185" s="160" t="s">
        <v>980</v>
      </c>
      <c r="M185" s="159"/>
      <c r="N185" s="159"/>
      <c r="O185" s="157"/>
      <c r="P185" s="66"/>
      <c r="Q185" s="66"/>
      <c r="R185" s="88">
        <f>SUM(P185:Q185)</f>
        <v>0</v>
      </c>
      <c r="S185" s="158"/>
      <c r="T185" s="159"/>
      <c r="U185" s="159"/>
      <c r="V185" s="159"/>
      <c r="W185" s="159"/>
      <c r="X185" s="159"/>
      <c r="Y185" s="157"/>
    </row>
    <row r="186" spans="1:25">
      <c r="A186" s="70" t="s">
        <v>981</v>
      </c>
      <c r="B186" s="66"/>
      <c r="C186" s="66"/>
      <c r="D186" s="88">
        <f>SUM(B186:C186)</f>
        <v>0</v>
      </c>
      <c r="E186" s="158"/>
      <c r="F186" s="159"/>
      <c r="G186" s="159"/>
      <c r="H186" s="159"/>
      <c r="I186" s="159"/>
      <c r="J186" s="159"/>
      <c r="K186" s="157"/>
      <c r="L186" s="160" t="s">
        <v>982</v>
      </c>
      <c r="M186" s="159"/>
      <c r="N186" s="159"/>
      <c r="O186" s="157"/>
      <c r="P186" s="66"/>
      <c r="Q186" s="66"/>
      <c r="R186" s="88">
        <f>SUM(P186:Q186)</f>
        <v>0</v>
      </c>
      <c r="S186" s="158"/>
      <c r="T186" s="159"/>
      <c r="U186" s="159"/>
      <c r="V186" s="159"/>
      <c r="W186" s="159"/>
      <c r="X186" s="159"/>
      <c r="Y186" s="157"/>
    </row>
    <row r="187" spans="1:25">
      <c r="A187" s="70" t="s">
        <v>983</v>
      </c>
      <c r="B187" s="66"/>
      <c r="C187" s="66"/>
      <c r="D187" s="88">
        <f>SUM(B187:C187)</f>
        <v>0</v>
      </c>
      <c r="E187" s="158"/>
      <c r="F187" s="159"/>
      <c r="G187" s="159"/>
      <c r="H187" s="159"/>
      <c r="I187" s="159"/>
      <c r="J187" s="159"/>
      <c r="K187" s="157"/>
      <c r="L187" s="160" t="s">
        <v>984</v>
      </c>
      <c r="M187" s="159"/>
      <c r="N187" s="159"/>
      <c r="O187" s="157"/>
      <c r="P187" s="66"/>
      <c r="Q187" s="66"/>
      <c r="R187" s="88">
        <f>SUM(P187:Q187)</f>
        <v>0</v>
      </c>
      <c r="S187" s="158"/>
      <c r="T187" s="159"/>
      <c r="U187" s="159"/>
      <c r="V187" s="159"/>
      <c r="W187" s="159"/>
      <c r="X187" s="159"/>
      <c r="Y187" s="157"/>
    </row>
    <row r="188" spans="1:25">
      <c r="A188" s="70" t="s">
        <v>985</v>
      </c>
      <c r="B188" s="66"/>
      <c r="C188" s="66"/>
      <c r="D188" s="88">
        <f>SUM(B188:C188)</f>
        <v>0</v>
      </c>
      <c r="E188" s="158"/>
      <c r="F188" s="159"/>
      <c r="G188" s="159"/>
      <c r="H188" s="159"/>
      <c r="I188" s="159"/>
      <c r="J188" s="159"/>
      <c r="K188" s="157"/>
      <c r="L188" s="160" t="s">
        <v>986</v>
      </c>
      <c r="M188" s="159"/>
      <c r="N188" s="159"/>
      <c r="O188" s="157"/>
      <c r="P188" s="66"/>
      <c r="Q188" s="66"/>
      <c r="R188" s="88">
        <f>SUM(P188:Q188)</f>
        <v>0</v>
      </c>
      <c r="S188" s="158"/>
      <c r="T188" s="159"/>
      <c r="U188" s="159"/>
      <c r="V188" s="159"/>
      <c r="W188" s="159"/>
      <c r="X188" s="159"/>
      <c r="Y188" s="157"/>
    </row>
    <row r="189" spans="1:25" customHeight="1" ht="36">
      <c r="A189" s="70" t="s">
        <v>987</v>
      </c>
      <c r="B189" s="66"/>
      <c r="C189" s="66"/>
      <c r="D189" s="88">
        <f>SUM(B189:C189)</f>
        <v>0</v>
      </c>
      <c r="E189" s="158"/>
      <c r="F189" s="159"/>
      <c r="G189" s="159"/>
      <c r="H189" s="159"/>
      <c r="I189" s="159"/>
      <c r="J189" s="159"/>
      <c r="K189" s="157"/>
      <c r="L189" s="160" t="s">
        <v>988</v>
      </c>
      <c r="M189" s="159"/>
      <c r="N189" s="159"/>
      <c r="O189" s="157"/>
      <c r="P189" s="66"/>
      <c r="Q189" s="66"/>
      <c r="R189" s="88">
        <f>SUM(P189:Q189)</f>
        <v>0</v>
      </c>
      <c r="S189" s="158"/>
      <c r="T189" s="159"/>
      <c r="U189" s="159"/>
      <c r="V189" s="159"/>
      <c r="W189" s="159"/>
      <c r="X189" s="159"/>
      <c r="Y189" s="157"/>
    </row>
    <row r="190" spans="1:25" customHeight="1" ht="36">
      <c r="A190" s="70" t="s">
        <v>989</v>
      </c>
      <c r="B190" s="66"/>
      <c r="C190" s="66"/>
      <c r="D190" s="88">
        <f>SUM(B190:C190)</f>
        <v>0</v>
      </c>
      <c r="E190" s="158"/>
      <c r="F190" s="159"/>
      <c r="G190" s="159"/>
      <c r="H190" s="159"/>
      <c r="I190" s="159"/>
      <c r="J190" s="159"/>
      <c r="K190" s="157"/>
      <c r="L190" s="160" t="s">
        <v>990</v>
      </c>
      <c r="M190" s="159"/>
      <c r="N190" s="159"/>
      <c r="O190" s="157"/>
      <c r="P190" s="66"/>
      <c r="Q190" s="66"/>
      <c r="R190" s="88">
        <f>SUM(P190:Q190)</f>
        <v>0</v>
      </c>
      <c r="S190" s="158"/>
      <c r="T190" s="159"/>
      <c r="U190" s="159"/>
      <c r="V190" s="159"/>
      <c r="W190" s="159"/>
      <c r="X190" s="159"/>
      <c r="Y190" s="157"/>
    </row>
    <row r="191" spans="1:25">
      <c r="A191" s="66" t="s">
        <v>991</v>
      </c>
      <c r="B191" s="66"/>
      <c r="C191" s="66"/>
      <c r="D191" s="88">
        <f>SUM(B191:C191)</f>
        <v>0</v>
      </c>
      <c r="E191" s="158"/>
      <c r="F191" s="159"/>
      <c r="G191" s="159"/>
      <c r="H191" s="159"/>
      <c r="I191" s="159"/>
      <c r="J191" s="159"/>
      <c r="K191" s="157"/>
      <c r="L191" s="160" t="s">
        <v>992</v>
      </c>
      <c r="M191" s="159"/>
      <c r="N191" s="159"/>
      <c r="O191" s="157"/>
      <c r="P191" s="66"/>
      <c r="Q191" s="66"/>
      <c r="R191" s="88">
        <f>SUM(P191:Q191)</f>
        <v>0</v>
      </c>
      <c r="S191" s="158"/>
      <c r="T191" s="159"/>
      <c r="U191" s="159"/>
      <c r="V191" s="159"/>
      <c r="W191" s="159"/>
      <c r="X191" s="159"/>
      <c r="Y191" s="157"/>
    </row>
    <row r="192" spans="1:25">
      <c r="A192" s="66" t="s">
        <v>993</v>
      </c>
      <c r="B192" s="66"/>
      <c r="C192" s="66"/>
      <c r="D192" s="88">
        <f>SUM(B192:C192)</f>
        <v>0</v>
      </c>
      <c r="E192" s="158"/>
      <c r="F192" s="159"/>
      <c r="G192" s="159"/>
      <c r="H192" s="159"/>
      <c r="I192" s="159"/>
      <c r="J192" s="159"/>
      <c r="K192" s="157"/>
      <c r="L192" s="158" t="s">
        <v>994</v>
      </c>
      <c r="M192" s="159"/>
      <c r="N192" s="159"/>
      <c r="O192" s="157"/>
      <c r="P192" s="66"/>
      <c r="Q192" s="66"/>
      <c r="R192" s="88">
        <f>SUM(P192:Q192)</f>
        <v>0</v>
      </c>
      <c r="S192" s="158"/>
      <c r="T192" s="159"/>
      <c r="U192" s="159"/>
      <c r="V192" s="159"/>
      <c r="W192" s="159"/>
      <c r="X192" s="159"/>
      <c r="Y192" s="157"/>
    </row>
    <row r="193" spans="1:25" customHeight="1" ht="36">
      <c r="A193" s="70" t="s">
        <v>995</v>
      </c>
      <c r="B193" s="66"/>
      <c r="C193" s="66"/>
      <c r="D193" s="88">
        <f>SUM(B193:C193)</f>
        <v>0</v>
      </c>
      <c r="E193" s="158"/>
      <c r="F193" s="159"/>
      <c r="G193" s="159"/>
      <c r="H193" s="159"/>
      <c r="I193" s="159"/>
      <c r="J193" s="159"/>
      <c r="K193" s="157"/>
      <c r="L193" s="158" t="s">
        <v>996</v>
      </c>
      <c r="M193" s="159"/>
      <c r="N193" s="159"/>
      <c r="O193" s="157"/>
      <c r="P193" s="66"/>
      <c r="Q193" s="66"/>
      <c r="R193" s="88">
        <f>SUM(P193:Q193)</f>
        <v>0</v>
      </c>
      <c r="S193" s="158"/>
      <c r="T193" s="159"/>
      <c r="U193" s="159"/>
      <c r="V193" s="159"/>
      <c r="W193" s="159"/>
      <c r="X193" s="159"/>
      <c r="Y193" s="157"/>
    </row>
    <row r="194" spans="1:25" customHeight="1" ht="36">
      <c r="A194" s="70" t="s">
        <v>997</v>
      </c>
      <c r="B194" s="66"/>
      <c r="C194" s="66"/>
      <c r="D194" s="88">
        <f>SUM(B194:C194)</f>
        <v>0</v>
      </c>
      <c r="E194" s="158"/>
      <c r="F194" s="159"/>
      <c r="G194" s="159"/>
      <c r="H194" s="159"/>
      <c r="I194" s="159"/>
      <c r="J194" s="159"/>
      <c r="K194" s="157"/>
      <c r="L194" s="160" t="s">
        <v>998</v>
      </c>
      <c r="M194" s="159"/>
      <c r="N194" s="159"/>
      <c r="O194" s="157"/>
      <c r="P194" s="66"/>
      <c r="Q194" s="66"/>
      <c r="R194" s="88">
        <f>SUM(P194:Q194)</f>
        <v>0</v>
      </c>
      <c r="S194" s="158"/>
      <c r="T194" s="159"/>
      <c r="U194" s="159"/>
      <c r="V194" s="159"/>
      <c r="W194" s="159"/>
      <c r="X194" s="159"/>
      <c r="Y194" s="157"/>
    </row>
    <row r="195" spans="1:25">
      <c r="A195" s="70" t="s">
        <v>999</v>
      </c>
      <c r="B195" s="66"/>
      <c r="C195" s="66"/>
      <c r="D195" s="88">
        <f>SUM(B195:C195)</f>
        <v>0</v>
      </c>
      <c r="E195" s="158"/>
      <c r="F195" s="159"/>
      <c r="G195" s="159"/>
      <c r="H195" s="159"/>
      <c r="I195" s="159"/>
      <c r="J195" s="159"/>
      <c r="K195" s="157"/>
      <c r="L195" s="158" t="s">
        <v>1000</v>
      </c>
      <c r="M195" s="159"/>
      <c r="N195" s="159"/>
      <c r="O195" s="157"/>
      <c r="P195" s="66"/>
      <c r="Q195" s="66"/>
      <c r="R195" s="88">
        <f>SUM(P195:Q195)</f>
        <v>0</v>
      </c>
      <c r="S195" s="158"/>
      <c r="T195" s="159"/>
      <c r="U195" s="159"/>
      <c r="V195" s="159"/>
      <c r="W195" s="159"/>
      <c r="X195" s="159"/>
      <c r="Y195" s="157"/>
    </row>
    <row r="196" spans="1:25">
      <c r="A196" s="70" t="s">
        <v>1001</v>
      </c>
      <c r="B196" s="66"/>
      <c r="C196" s="66"/>
      <c r="D196" s="88">
        <f>SUM(B196:C196)</f>
        <v>0</v>
      </c>
      <c r="E196" s="158"/>
      <c r="F196" s="159"/>
      <c r="G196" s="159"/>
      <c r="H196" s="159"/>
      <c r="I196" s="159"/>
      <c r="J196" s="159"/>
      <c r="K196" s="157"/>
      <c r="L196" s="158" t="s">
        <v>1002</v>
      </c>
      <c r="M196" s="159"/>
      <c r="N196" s="159"/>
      <c r="O196" s="157"/>
      <c r="P196" s="66"/>
      <c r="Q196" s="66"/>
      <c r="R196" s="88">
        <f>SUM(P196:Q196)</f>
        <v>0</v>
      </c>
      <c r="S196" s="158"/>
      <c r="T196" s="159"/>
      <c r="U196" s="159"/>
      <c r="V196" s="159"/>
      <c r="W196" s="159"/>
      <c r="X196" s="159"/>
      <c r="Y196" s="157"/>
    </row>
    <row r="197" spans="1:25">
      <c r="A197" s="199"/>
      <c r="B197" s="154"/>
      <c r="C197" s="154"/>
      <c r="D197" s="154"/>
      <c r="E197" s="154"/>
      <c r="F197" s="154"/>
      <c r="G197" s="154"/>
      <c r="H197" s="154"/>
      <c r="I197" s="154"/>
      <c r="J197" s="154"/>
      <c r="K197" s="155"/>
      <c r="L197" s="166" t="s">
        <v>1003</v>
      </c>
      <c r="M197" s="164"/>
      <c r="N197" s="164"/>
      <c r="O197" s="165"/>
      <c r="P197" s="75"/>
      <c r="Q197" s="75"/>
      <c r="R197" s="98">
        <f>SUM(P197:Q197)</f>
        <v>0</v>
      </c>
      <c r="S197" s="163"/>
      <c r="T197" s="164"/>
      <c r="U197" s="164"/>
      <c r="V197" s="164"/>
      <c r="W197" s="164"/>
      <c r="X197" s="164"/>
      <c r="Y197" s="165"/>
    </row>
    <row r="198" spans="1:25">
      <c r="A198" s="148" t="s">
        <v>773</v>
      </c>
      <c r="B198" s="133" t="s">
        <v>1004</v>
      </c>
      <c r="C198" s="134"/>
      <c r="D198" s="134"/>
      <c r="E198" s="134"/>
      <c r="F198" s="134"/>
      <c r="G198" s="134"/>
      <c r="H198" s="134"/>
      <c r="I198" s="135"/>
      <c r="J198" s="127" t="s">
        <v>833</v>
      </c>
      <c r="K198" s="129"/>
      <c r="L198" s="127" t="s">
        <v>736</v>
      </c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9"/>
    </row>
    <row r="199" spans="1:25">
      <c r="A199" s="149"/>
      <c r="B199" s="133" t="s">
        <v>1005</v>
      </c>
      <c r="C199" s="135"/>
      <c r="D199" s="201">
        <v>45949</v>
      </c>
      <c r="E199" s="135"/>
      <c r="F199" s="133" t="s">
        <v>1006</v>
      </c>
      <c r="G199" s="135"/>
      <c r="H199" s="133" t="s">
        <v>1007</v>
      </c>
      <c r="I199" s="135"/>
      <c r="J199" s="200"/>
      <c r="K199" s="186"/>
      <c r="L199" s="200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86"/>
    </row>
    <row r="200" spans="1:25">
      <c r="A200" s="137"/>
      <c r="B200" s="63" t="s">
        <v>831</v>
      </c>
      <c r="C200" s="63" t="s">
        <v>832</v>
      </c>
      <c r="D200" s="63" t="s">
        <v>831</v>
      </c>
      <c r="E200" s="63" t="s">
        <v>832</v>
      </c>
      <c r="F200" s="63" t="s">
        <v>831</v>
      </c>
      <c r="G200" s="63" t="s">
        <v>832</v>
      </c>
      <c r="H200" s="63" t="s">
        <v>831</v>
      </c>
      <c r="I200" s="63" t="s">
        <v>832</v>
      </c>
      <c r="J200" s="130"/>
      <c r="K200" s="132"/>
      <c r="L200" s="130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2"/>
    </row>
    <row r="201" spans="1:25">
      <c r="A201" s="153" t="s">
        <v>1008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5"/>
    </row>
    <row r="202" spans="1:25" customHeight="1" ht="48">
      <c r="A202" s="70" t="s">
        <v>1009</v>
      </c>
      <c r="B202" s="66">
        <v>1.0</v>
      </c>
      <c r="C202" s="66">
        <v>2.0</v>
      </c>
      <c r="D202" s="66">
        <v>3.0</v>
      </c>
      <c r="E202" s="66">
        <v>4.0</v>
      </c>
      <c r="F202" s="66">
        <v>5.0</v>
      </c>
      <c r="G202" s="66">
        <v>6.0</v>
      </c>
      <c r="H202" s="66">
        <v>7.0</v>
      </c>
      <c r="I202" s="66">
        <v>8.0</v>
      </c>
      <c r="J202" s="161">
        <f>SUM(B202:I202)</f>
        <v>36</v>
      </c>
      <c r="K202" s="157"/>
      <c r="L202" s="158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7"/>
    </row>
    <row r="203" spans="1:25">
      <c r="A203" s="217" t="s">
        <v>1010</v>
      </c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</row>
    <row r="204" spans="1:25">
      <c r="A204" s="148" t="s">
        <v>773</v>
      </c>
      <c r="B204" s="127" t="s">
        <v>833</v>
      </c>
      <c r="C204" s="127" t="s">
        <v>736</v>
      </c>
      <c r="D204" s="128"/>
      <c r="E204" s="128"/>
      <c r="F204" s="128"/>
      <c r="G204" s="128"/>
      <c r="H204" s="128"/>
      <c r="I204" s="129"/>
      <c r="J204" s="152" t="s">
        <v>773</v>
      </c>
      <c r="K204" s="128"/>
      <c r="L204" s="128"/>
      <c r="M204" s="129"/>
      <c r="N204" s="127" t="s">
        <v>833</v>
      </c>
      <c r="O204" s="185" t="s">
        <v>736</v>
      </c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</row>
    <row r="205" spans="1:25">
      <c r="A205" s="137"/>
      <c r="B205" s="130"/>
      <c r="C205" s="130"/>
      <c r="D205" s="131"/>
      <c r="E205" s="131"/>
      <c r="F205" s="131"/>
      <c r="G205" s="131"/>
      <c r="H205" s="131"/>
      <c r="I205" s="132"/>
      <c r="J205" s="130"/>
      <c r="K205" s="131"/>
      <c r="L205" s="131"/>
      <c r="M205" s="132"/>
      <c r="N205" s="130"/>
      <c r="O205" s="185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</row>
    <row r="206" spans="1:25">
      <c r="A206" s="153" t="s">
        <v>1011</v>
      </c>
      <c r="B206" s="154"/>
      <c r="C206" s="154"/>
      <c r="D206" s="154"/>
      <c r="E206" s="154"/>
      <c r="F206" s="154"/>
      <c r="G206" s="154"/>
      <c r="H206" s="154"/>
      <c r="I206" s="154"/>
      <c r="J206" s="153" t="s">
        <v>1012</v>
      </c>
      <c r="K206" s="154"/>
      <c r="L206" s="154"/>
      <c r="M206" s="154"/>
      <c r="N206" s="154"/>
      <c r="O206" s="205"/>
      <c r="P206" s="205"/>
      <c r="Q206" s="205"/>
      <c r="R206" s="205"/>
      <c r="S206" s="205"/>
      <c r="T206" s="101"/>
      <c r="U206" s="101"/>
      <c r="V206" s="101"/>
      <c r="W206" s="101"/>
      <c r="X206" s="101"/>
      <c r="Y206" s="101"/>
    </row>
    <row r="207" spans="1:25" customHeight="1" ht="24">
      <c r="A207" s="70" t="s">
        <v>1013</v>
      </c>
      <c r="B207" s="103">
        <f>SUM(B208:B210)</f>
        <v>2</v>
      </c>
      <c r="C207" s="206"/>
      <c r="D207" s="164"/>
      <c r="E207" s="164"/>
      <c r="F207" s="164"/>
      <c r="G207" s="164"/>
      <c r="H207" s="164"/>
      <c r="I207" s="165"/>
      <c r="J207" s="160" t="s">
        <v>1014</v>
      </c>
      <c r="K207" s="159"/>
      <c r="L207" s="159"/>
      <c r="M207" s="157"/>
      <c r="N207" s="103">
        <f>SUM(N208:N210)</f>
        <v>290</v>
      </c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</row>
    <row r="208" spans="1:25">
      <c r="A208" s="70" t="s">
        <v>1015</v>
      </c>
      <c r="B208" s="85"/>
      <c r="C208" s="174"/>
      <c r="D208" s="141"/>
      <c r="E208" s="141"/>
      <c r="F208" s="141"/>
      <c r="G208" s="141"/>
      <c r="H208" s="141"/>
      <c r="I208" s="144"/>
      <c r="J208" s="160" t="s">
        <v>1016</v>
      </c>
      <c r="K208" s="159"/>
      <c r="L208" s="159"/>
      <c r="M208" s="157"/>
      <c r="N208" s="85">
        <v>290.0</v>
      </c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</row>
    <row r="209" spans="1:25">
      <c r="A209" s="70" t="s">
        <v>1017</v>
      </c>
      <c r="B209" s="85"/>
      <c r="C209" s="174"/>
      <c r="D209" s="141"/>
      <c r="E209" s="141"/>
      <c r="F209" s="141"/>
      <c r="G209" s="141"/>
      <c r="H209" s="141"/>
      <c r="I209" s="144"/>
      <c r="J209" s="160" t="s">
        <v>1018</v>
      </c>
      <c r="K209" s="159"/>
      <c r="L209" s="159"/>
      <c r="M209" s="157"/>
      <c r="N209" s="85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</row>
    <row r="210" spans="1:25">
      <c r="A210" s="70" t="s">
        <v>1019</v>
      </c>
      <c r="B210" s="85">
        <v>2.0</v>
      </c>
      <c r="C210" s="172"/>
      <c r="D210" s="154"/>
      <c r="E210" s="154"/>
      <c r="F210" s="154"/>
      <c r="G210" s="154"/>
      <c r="H210" s="154"/>
      <c r="I210" s="155"/>
      <c r="J210" s="160" t="s">
        <v>1020</v>
      </c>
      <c r="K210" s="159"/>
      <c r="L210" s="159"/>
      <c r="M210" s="157"/>
      <c r="N210" s="85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</row>
    <row r="211" spans="1:25" customHeight="1" ht="24">
      <c r="A211" s="70" t="s">
        <v>1021</v>
      </c>
      <c r="B211" s="85"/>
      <c r="C211" s="202"/>
      <c r="D211" s="159"/>
      <c r="E211" s="164"/>
      <c r="F211" s="164"/>
      <c r="G211" s="164"/>
      <c r="H211" s="164"/>
      <c r="I211" s="165"/>
      <c r="J211" s="166" t="s">
        <v>1022</v>
      </c>
      <c r="K211" s="164"/>
      <c r="L211" s="164"/>
      <c r="M211" s="165"/>
      <c r="N211" s="11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</row>
    <row r="212" spans="1:25">
      <c r="A212" s="148" t="s">
        <v>773</v>
      </c>
      <c r="B212" s="203" t="s">
        <v>1023</v>
      </c>
      <c r="C212" s="127" t="s">
        <v>833</v>
      </c>
      <c r="D212" s="128"/>
      <c r="E212" s="222" t="s">
        <v>736</v>
      </c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 spans="1:25">
      <c r="A213" s="137"/>
      <c r="B213" s="204"/>
      <c r="C213" s="130"/>
      <c r="D213" s="131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 spans="1:25" customHeight="1" ht="36">
      <c r="A214" s="70" t="s">
        <v>1024</v>
      </c>
      <c r="B214" s="67">
        <v>1.0</v>
      </c>
      <c r="C214" s="168">
        <f>B214</f>
        <v>1</v>
      </c>
      <c r="D214" s="159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</row>
    <row r="215" spans="1:25" customHeight="1" ht="36">
      <c r="A215" s="70" t="s">
        <v>1025</v>
      </c>
      <c r="B215" s="67"/>
      <c r="C215" s="168">
        <f>B215</f>
        <v>0</v>
      </c>
      <c r="D215" s="159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</row>
    <row r="216" spans="1:25">
      <c r="A216" s="133" t="s">
        <v>1026</v>
      </c>
      <c r="B216" s="134"/>
      <c r="C216" s="134"/>
      <c r="D216" s="134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2"/>
    </row>
    <row r="217" spans="1:25">
      <c r="A217" s="148" t="s">
        <v>773</v>
      </c>
      <c r="B217" s="133" t="s">
        <v>830</v>
      </c>
      <c r="C217" s="134"/>
      <c r="D217" s="135"/>
      <c r="E217" s="127" t="s">
        <v>736</v>
      </c>
      <c r="F217" s="128"/>
      <c r="G217" s="128"/>
      <c r="H217" s="128"/>
      <c r="I217" s="128"/>
      <c r="J217" s="128"/>
      <c r="K217" s="129"/>
      <c r="L217" s="152" t="s">
        <v>773</v>
      </c>
      <c r="M217" s="128"/>
      <c r="N217" s="128"/>
      <c r="O217" s="128"/>
      <c r="P217" s="129"/>
      <c r="Q217" s="133" t="s">
        <v>830</v>
      </c>
      <c r="R217" s="134"/>
      <c r="S217" s="135"/>
      <c r="T217" s="127" t="s">
        <v>736</v>
      </c>
      <c r="U217" s="128"/>
      <c r="V217" s="128"/>
      <c r="W217" s="128"/>
      <c r="X217" s="128"/>
      <c r="Y217" s="129"/>
    </row>
    <row r="218" spans="1:25">
      <c r="A218" s="137"/>
      <c r="B218" s="51" t="s">
        <v>831</v>
      </c>
      <c r="C218" s="51" t="s">
        <v>832</v>
      </c>
      <c r="D218" s="51" t="s">
        <v>833</v>
      </c>
      <c r="E218" s="130"/>
      <c r="F218" s="131"/>
      <c r="G218" s="131"/>
      <c r="H218" s="131"/>
      <c r="I218" s="131"/>
      <c r="J218" s="131"/>
      <c r="K218" s="132"/>
      <c r="L218" s="130"/>
      <c r="M218" s="131"/>
      <c r="N218" s="131"/>
      <c r="O218" s="131"/>
      <c r="P218" s="132"/>
      <c r="Q218" s="51" t="s">
        <v>831</v>
      </c>
      <c r="R218" s="51" t="s">
        <v>832</v>
      </c>
      <c r="S218" s="51" t="s">
        <v>833</v>
      </c>
      <c r="T218" s="130"/>
      <c r="U218" s="131"/>
      <c r="V218" s="131"/>
      <c r="W218" s="131"/>
      <c r="X218" s="131"/>
      <c r="Y218" s="132"/>
    </row>
    <row r="219" spans="1:25">
      <c r="A219" s="153" t="s">
        <v>1027</v>
      </c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 customHeight="1" ht="24">
      <c r="A220" s="70" t="s">
        <v>1028</v>
      </c>
      <c r="B220" s="66">
        <v>11.0</v>
      </c>
      <c r="C220" s="66">
        <v>22.0</v>
      </c>
      <c r="D220" s="88">
        <f>SUM(B220:C220)</f>
        <v>33</v>
      </c>
      <c r="E220" s="158"/>
      <c r="F220" s="159"/>
      <c r="G220" s="159"/>
      <c r="H220" s="159"/>
      <c r="I220" s="159"/>
      <c r="J220" s="159"/>
      <c r="K220" s="157"/>
      <c r="L220" s="160" t="s">
        <v>1029</v>
      </c>
      <c r="M220" s="159"/>
      <c r="N220" s="159"/>
      <c r="O220" s="159"/>
      <c r="P220" s="157"/>
      <c r="Q220" s="66"/>
      <c r="R220" s="66"/>
      <c r="S220" s="88">
        <f>SUM(Q220:R220)</f>
        <v>0</v>
      </c>
      <c r="T220" s="158"/>
      <c r="U220" s="159"/>
      <c r="V220" s="159"/>
      <c r="W220" s="159"/>
      <c r="X220" s="159"/>
      <c r="Y220" s="157"/>
    </row>
    <row r="221" spans="1:25" customHeight="1" ht="36">
      <c r="A221" s="70" t="s">
        <v>1030</v>
      </c>
      <c r="B221" s="66"/>
      <c r="C221" s="66"/>
      <c r="D221" s="88">
        <f>SUM(B221:C221)</f>
        <v>0</v>
      </c>
      <c r="E221" s="158"/>
      <c r="F221" s="159"/>
      <c r="G221" s="159"/>
      <c r="H221" s="159"/>
      <c r="I221" s="159"/>
      <c r="J221" s="159"/>
      <c r="K221" s="157"/>
      <c r="L221" s="160" t="s">
        <v>1031</v>
      </c>
      <c r="M221" s="159"/>
      <c r="N221" s="159"/>
      <c r="O221" s="159"/>
      <c r="P221" s="157"/>
      <c r="Q221" s="66"/>
      <c r="R221" s="66"/>
      <c r="S221" s="88">
        <f>SUM(Q221:R221)</f>
        <v>0</v>
      </c>
      <c r="T221" s="158"/>
      <c r="U221" s="159"/>
      <c r="V221" s="159"/>
      <c r="W221" s="159"/>
      <c r="X221" s="159"/>
      <c r="Y221" s="157"/>
    </row>
    <row r="222" spans="1:25" customHeight="1" ht="36">
      <c r="A222" s="70" t="s">
        <v>1032</v>
      </c>
      <c r="B222" s="66"/>
      <c r="C222" s="66"/>
      <c r="D222" s="88">
        <f>SUM(B222:C222)</f>
        <v>0</v>
      </c>
      <c r="E222" s="158"/>
      <c r="F222" s="159"/>
      <c r="G222" s="159"/>
      <c r="H222" s="159"/>
      <c r="I222" s="159"/>
      <c r="J222" s="159"/>
      <c r="K222" s="157"/>
      <c r="L222" s="160" t="s">
        <v>1033</v>
      </c>
      <c r="M222" s="159"/>
      <c r="N222" s="159"/>
      <c r="O222" s="159"/>
      <c r="P222" s="157"/>
      <c r="Q222" s="66"/>
      <c r="R222" s="66"/>
      <c r="S222" s="88">
        <f>SUM(Q222:R222)</f>
        <v>0</v>
      </c>
      <c r="T222" s="158"/>
      <c r="U222" s="159"/>
      <c r="V222" s="159"/>
      <c r="W222" s="159"/>
      <c r="X222" s="159"/>
      <c r="Y222" s="157"/>
    </row>
    <row r="223" spans="1:25" customHeight="1" ht="24">
      <c r="A223" s="70" t="s">
        <v>1034</v>
      </c>
      <c r="B223" s="66"/>
      <c r="C223" s="66"/>
      <c r="D223" s="88">
        <f>SUM(B223:C223)</f>
        <v>0</v>
      </c>
      <c r="E223" s="158"/>
      <c r="F223" s="159"/>
      <c r="G223" s="159"/>
      <c r="H223" s="159"/>
      <c r="I223" s="159"/>
      <c r="J223" s="159"/>
      <c r="K223" s="157"/>
      <c r="L223" s="160" t="s">
        <v>1035</v>
      </c>
      <c r="M223" s="159"/>
      <c r="N223" s="159"/>
      <c r="O223" s="159"/>
      <c r="P223" s="157"/>
      <c r="Q223" s="66"/>
      <c r="R223" s="66"/>
      <c r="S223" s="88">
        <f>SUM(Q223:R223)</f>
        <v>0</v>
      </c>
      <c r="T223" s="158"/>
      <c r="U223" s="159"/>
      <c r="V223" s="159"/>
      <c r="W223" s="159"/>
      <c r="X223" s="159"/>
      <c r="Y223" s="157"/>
    </row>
    <row r="224" spans="1:25">
      <c r="A224" s="153" t="s">
        <v>1036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>
      <c r="A225" s="104" t="s">
        <v>1037</v>
      </c>
      <c r="B225" s="66"/>
      <c r="C225" s="66"/>
      <c r="D225" s="88">
        <f>SUM(B225:C225)</f>
        <v>0</v>
      </c>
      <c r="E225" s="158"/>
      <c r="F225" s="159"/>
      <c r="G225" s="159"/>
      <c r="H225" s="159"/>
      <c r="I225" s="159"/>
      <c r="J225" s="159"/>
      <c r="K225" s="157"/>
      <c r="L225" s="160" t="s">
        <v>1038</v>
      </c>
      <c r="M225" s="159"/>
      <c r="N225" s="159"/>
      <c r="O225" s="159"/>
      <c r="P225" s="157"/>
      <c r="Q225" s="66"/>
      <c r="R225" s="66"/>
      <c r="S225" s="88">
        <f>SUM(Q225:R225)</f>
        <v>0</v>
      </c>
      <c r="T225" s="158"/>
      <c r="U225" s="159"/>
      <c r="V225" s="159"/>
      <c r="W225" s="159"/>
      <c r="X225" s="159"/>
      <c r="Y225" s="157"/>
    </row>
    <row r="226" spans="1:25">
      <c r="A226" s="104" t="s">
        <v>1039</v>
      </c>
      <c r="B226" s="66"/>
      <c r="C226" s="66"/>
      <c r="D226" s="88">
        <f>SUM(B226:C226)</f>
        <v>0</v>
      </c>
      <c r="E226" s="158"/>
      <c r="F226" s="159"/>
      <c r="G226" s="159"/>
      <c r="H226" s="159"/>
      <c r="I226" s="159"/>
      <c r="J226" s="159"/>
      <c r="K226" s="157"/>
      <c r="L226" s="160" t="s">
        <v>1039</v>
      </c>
      <c r="M226" s="159"/>
      <c r="N226" s="159"/>
      <c r="O226" s="159"/>
      <c r="P226" s="157"/>
      <c r="Q226" s="66"/>
      <c r="R226" s="66"/>
      <c r="S226" s="88">
        <f>SUM(Q226:R226)</f>
        <v>0</v>
      </c>
      <c r="T226" s="158"/>
      <c r="U226" s="159"/>
      <c r="V226" s="159"/>
      <c r="W226" s="159"/>
      <c r="X226" s="159"/>
      <c r="Y226" s="157"/>
    </row>
    <row r="227" spans="1:25">
      <c r="A227" s="104" t="s">
        <v>1040</v>
      </c>
      <c r="B227" s="66"/>
      <c r="C227" s="66"/>
      <c r="D227" s="88">
        <f>SUM(B227:C227)</f>
        <v>0</v>
      </c>
      <c r="E227" s="158"/>
      <c r="F227" s="159"/>
      <c r="G227" s="159"/>
      <c r="H227" s="159"/>
      <c r="I227" s="159"/>
      <c r="J227" s="159"/>
      <c r="K227" s="157"/>
      <c r="L227" s="160" t="s">
        <v>1040</v>
      </c>
      <c r="M227" s="159"/>
      <c r="N227" s="159"/>
      <c r="O227" s="159"/>
      <c r="P227" s="157"/>
      <c r="Q227" s="66"/>
      <c r="R227" s="66"/>
      <c r="S227" s="88">
        <f>SUM(Q227:R227)</f>
        <v>0</v>
      </c>
      <c r="T227" s="158"/>
      <c r="U227" s="159"/>
      <c r="V227" s="159"/>
      <c r="W227" s="159"/>
      <c r="X227" s="159"/>
      <c r="Y227" s="157"/>
    </row>
    <row r="228" spans="1:25">
      <c r="A228" s="104" t="s">
        <v>1041</v>
      </c>
      <c r="B228" s="66"/>
      <c r="C228" s="66"/>
      <c r="D228" s="88">
        <f>SUM(B228:C228)</f>
        <v>0</v>
      </c>
      <c r="E228" s="158"/>
      <c r="F228" s="159"/>
      <c r="G228" s="159"/>
      <c r="H228" s="159"/>
      <c r="I228" s="159"/>
      <c r="J228" s="159"/>
      <c r="K228" s="157"/>
      <c r="L228" s="160" t="s">
        <v>1042</v>
      </c>
      <c r="M228" s="159"/>
      <c r="N228" s="159"/>
      <c r="O228" s="159"/>
      <c r="P228" s="157"/>
      <c r="Q228" s="66"/>
      <c r="R228" s="66"/>
      <c r="S228" s="88">
        <f>SUM(Q228:R228)</f>
        <v>0</v>
      </c>
      <c r="T228" s="158"/>
      <c r="U228" s="159"/>
      <c r="V228" s="159"/>
      <c r="W228" s="159"/>
      <c r="X228" s="159"/>
      <c r="Y228" s="157"/>
    </row>
    <row r="229" spans="1:25">
      <c r="A229" s="104" t="s">
        <v>1039</v>
      </c>
      <c r="B229" s="66"/>
      <c r="C229" s="66"/>
      <c r="D229" s="88">
        <f>SUM(B229:C229)</f>
        <v>0</v>
      </c>
      <c r="E229" s="158"/>
      <c r="F229" s="159"/>
      <c r="G229" s="159"/>
      <c r="H229" s="159"/>
      <c r="I229" s="159"/>
      <c r="J229" s="159"/>
      <c r="K229" s="157"/>
      <c r="L229" s="160" t="s">
        <v>1039</v>
      </c>
      <c r="M229" s="159"/>
      <c r="N229" s="159"/>
      <c r="O229" s="159"/>
      <c r="P229" s="157"/>
      <c r="Q229" s="66"/>
      <c r="R229" s="66"/>
      <c r="S229" s="88">
        <f>SUM(Q229:R229)</f>
        <v>0</v>
      </c>
      <c r="T229" s="158"/>
      <c r="U229" s="159"/>
      <c r="V229" s="159"/>
      <c r="W229" s="159"/>
      <c r="X229" s="159"/>
      <c r="Y229" s="157"/>
    </row>
    <row r="230" spans="1:25">
      <c r="A230" s="104" t="s">
        <v>1040</v>
      </c>
      <c r="B230" s="66"/>
      <c r="C230" s="66"/>
      <c r="D230" s="88">
        <f>SUM(B230:C230)</f>
        <v>0</v>
      </c>
      <c r="E230" s="158"/>
      <c r="F230" s="159"/>
      <c r="G230" s="159"/>
      <c r="H230" s="159"/>
      <c r="I230" s="159"/>
      <c r="J230" s="159"/>
      <c r="K230" s="157"/>
      <c r="L230" s="160" t="s">
        <v>1040</v>
      </c>
      <c r="M230" s="159"/>
      <c r="N230" s="159"/>
      <c r="O230" s="159"/>
      <c r="P230" s="157"/>
      <c r="Q230" s="66"/>
      <c r="R230" s="66"/>
      <c r="S230" s="88">
        <f>SUM(Q230:R230)</f>
        <v>0</v>
      </c>
      <c r="T230" s="158"/>
      <c r="U230" s="159"/>
      <c r="V230" s="159"/>
      <c r="W230" s="159"/>
      <c r="X230" s="159"/>
      <c r="Y230" s="157"/>
    </row>
    <row r="231" spans="1:25">
      <c r="A231" s="104" t="s">
        <v>1043</v>
      </c>
      <c r="B231" s="66">
        <v>33.0</v>
      </c>
      <c r="C231" s="66">
        <v>44.0</v>
      </c>
      <c r="D231" s="88">
        <f>SUM(B231:C231)</f>
        <v>77</v>
      </c>
      <c r="E231" s="158"/>
      <c r="F231" s="159"/>
      <c r="G231" s="159"/>
      <c r="H231" s="159"/>
      <c r="I231" s="159"/>
      <c r="J231" s="159"/>
      <c r="K231" s="157"/>
      <c r="L231" s="160" t="s">
        <v>1044</v>
      </c>
      <c r="M231" s="159"/>
      <c r="N231" s="159"/>
      <c r="O231" s="159"/>
      <c r="P231" s="157"/>
      <c r="Q231" s="66"/>
      <c r="R231" s="66"/>
      <c r="S231" s="88">
        <f>SUM(Q231:R231)</f>
        <v>0</v>
      </c>
      <c r="T231" s="158"/>
      <c r="U231" s="159"/>
      <c r="V231" s="159"/>
      <c r="W231" s="159"/>
      <c r="X231" s="159"/>
      <c r="Y231" s="157"/>
    </row>
    <row r="232" spans="1:25">
      <c r="A232" s="104" t="s">
        <v>1039</v>
      </c>
      <c r="B232" s="66"/>
      <c r="C232" s="66"/>
      <c r="D232" s="88">
        <f>SUM(B232:C232)</f>
        <v>0</v>
      </c>
      <c r="E232" s="158"/>
      <c r="F232" s="159"/>
      <c r="G232" s="159"/>
      <c r="H232" s="159"/>
      <c r="I232" s="159"/>
      <c r="J232" s="159"/>
      <c r="K232" s="157"/>
      <c r="L232" s="160" t="s">
        <v>1039</v>
      </c>
      <c r="M232" s="159"/>
      <c r="N232" s="159"/>
      <c r="O232" s="159"/>
      <c r="P232" s="157"/>
      <c r="Q232" s="66"/>
      <c r="R232" s="66"/>
      <c r="S232" s="88">
        <f>SUM(Q232:R232)</f>
        <v>0</v>
      </c>
      <c r="T232" s="158"/>
      <c r="U232" s="159"/>
      <c r="V232" s="159"/>
      <c r="W232" s="159"/>
      <c r="X232" s="159"/>
      <c r="Y232" s="157"/>
    </row>
    <row r="233" spans="1:25">
      <c r="A233" s="104" t="s">
        <v>1040</v>
      </c>
      <c r="B233" s="66"/>
      <c r="C233" s="66"/>
      <c r="D233" s="88">
        <f>SUM(B233:C233)</f>
        <v>0</v>
      </c>
      <c r="E233" s="158"/>
      <c r="F233" s="159"/>
      <c r="G233" s="159"/>
      <c r="H233" s="159"/>
      <c r="I233" s="159"/>
      <c r="J233" s="159"/>
      <c r="K233" s="157"/>
      <c r="L233" s="160" t="s">
        <v>1040</v>
      </c>
      <c r="M233" s="159"/>
      <c r="N233" s="159"/>
      <c r="O233" s="159"/>
      <c r="P233" s="157"/>
      <c r="Q233" s="66"/>
      <c r="R233" s="66"/>
      <c r="S233" s="88">
        <f>SUM(Q233:R233)</f>
        <v>0</v>
      </c>
      <c r="T233" s="158"/>
      <c r="U233" s="159"/>
      <c r="V233" s="159"/>
      <c r="W233" s="159"/>
      <c r="X233" s="159"/>
      <c r="Y233" s="157"/>
    </row>
    <row r="234" spans="1:25" customHeight="1" ht="24">
      <c r="A234" s="104" t="s">
        <v>1045</v>
      </c>
      <c r="B234" s="66"/>
      <c r="C234" s="66"/>
      <c r="D234" s="88">
        <f>SUM(B234:C234)</f>
        <v>0</v>
      </c>
      <c r="E234" s="158"/>
      <c r="F234" s="159"/>
      <c r="G234" s="159"/>
      <c r="H234" s="159"/>
      <c r="I234" s="159"/>
      <c r="J234" s="159"/>
      <c r="K234" s="157"/>
      <c r="L234" s="160" t="s">
        <v>1046</v>
      </c>
      <c r="M234" s="159"/>
      <c r="N234" s="159"/>
      <c r="O234" s="159"/>
      <c r="P234" s="157"/>
      <c r="Q234" s="66"/>
      <c r="R234" s="66"/>
      <c r="S234" s="88">
        <f>SUM(Q234:R234)</f>
        <v>0</v>
      </c>
      <c r="T234" s="158"/>
      <c r="U234" s="159"/>
      <c r="V234" s="159"/>
      <c r="W234" s="159"/>
      <c r="X234" s="159"/>
      <c r="Y234" s="157"/>
    </row>
    <row r="235" spans="1:25">
      <c r="A235" s="104" t="s">
        <v>1039</v>
      </c>
      <c r="B235" s="66"/>
      <c r="C235" s="66"/>
      <c r="D235" s="88">
        <f>SUM(B235:C235)</f>
        <v>0</v>
      </c>
      <c r="E235" s="158"/>
      <c r="F235" s="159"/>
      <c r="G235" s="159"/>
      <c r="H235" s="159"/>
      <c r="I235" s="159"/>
      <c r="J235" s="159"/>
      <c r="K235" s="157"/>
      <c r="L235" s="160" t="s">
        <v>1039</v>
      </c>
      <c r="M235" s="159"/>
      <c r="N235" s="159"/>
      <c r="O235" s="159"/>
      <c r="P235" s="157"/>
      <c r="Q235" s="66"/>
      <c r="R235" s="66"/>
      <c r="S235" s="88">
        <f>SUM(Q235:R235)</f>
        <v>0</v>
      </c>
      <c r="T235" s="158"/>
      <c r="U235" s="159"/>
      <c r="V235" s="159"/>
      <c r="W235" s="159"/>
      <c r="X235" s="159"/>
      <c r="Y235" s="157"/>
    </row>
    <row r="236" spans="1:25">
      <c r="A236" s="104" t="s">
        <v>1040</v>
      </c>
      <c r="B236" s="66"/>
      <c r="C236" s="66"/>
      <c r="D236" s="88">
        <f>SUM(B236:C236)</f>
        <v>0</v>
      </c>
      <c r="E236" s="158"/>
      <c r="F236" s="159"/>
      <c r="G236" s="159"/>
      <c r="H236" s="159"/>
      <c r="I236" s="159"/>
      <c r="J236" s="159"/>
      <c r="K236" s="157"/>
      <c r="L236" s="160" t="s">
        <v>1040</v>
      </c>
      <c r="M236" s="159"/>
      <c r="N236" s="159"/>
      <c r="O236" s="159"/>
      <c r="P236" s="157"/>
      <c r="Q236" s="66"/>
      <c r="R236" s="66"/>
      <c r="S236" s="88">
        <f>SUM(Q236:R236)</f>
        <v>0</v>
      </c>
      <c r="T236" s="158"/>
      <c r="U236" s="159"/>
      <c r="V236" s="159"/>
      <c r="W236" s="159"/>
      <c r="X236" s="159"/>
      <c r="Y236" s="157"/>
    </row>
    <row r="237" spans="1:25" customHeight="1" ht="48">
      <c r="A237" s="104" t="s">
        <v>1047</v>
      </c>
      <c r="B237" s="66"/>
      <c r="C237" s="66"/>
      <c r="D237" s="88">
        <f>SUM(B237:C237)</f>
        <v>0</v>
      </c>
      <c r="E237" s="158"/>
      <c r="F237" s="159"/>
      <c r="G237" s="159"/>
      <c r="H237" s="159"/>
      <c r="I237" s="159"/>
      <c r="J237" s="159"/>
      <c r="K237" s="157"/>
      <c r="L237" s="207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5"/>
    </row>
    <row r="238" spans="1:25">
      <c r="A238" s="104" t="s">
        <v>1039</v>
      </c>
      <c r="B238" s="66"/>
      <c r="C238" s="66"/>
      <c r="D238" s="88">
        <f>SUM(B238:C238)</f>
        <v>0</v>
      </c>
      <c r="E238" s="158"/>
      <c r="F238" s="159"/>
      <c r="G238" s="159"/>
      <c r="H238" s="159"/>
      <c r="I238" s="159"/>
      <c r="J238" s="159"/>
      <c r="K238" s="157"/>
      <c r="L238" s="174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4"/>
    </row>
    <row r="239" spans="1:25">
      <c r="A239" s="104" t="s">
        <v>1040</v>
      </c>
      <c r="B239" s="66"/>
      <c r="C239" s="66"/>
      <c r="D239" s="88">
        <f>SUM(B239:C239)</f>
        <v>0</v>
      </c>
      <c r="E239" s="158"/>
      <c r="F239" s="159"/>
      <c r="G239" s="159"/>
      <c r="H239" s="159"/>
      <c r="I239" s="159"/>
      <c r="J239" s="159"/>
      <c r="K239" s="157"/>
      <c r="L239" s="172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5"/>
    </row>
    <row r="240" spans="1:25">
      <c r="A240" s="148" t="s">
        <v>773</v>
      </c>
      <c r="B240" s="133" t="s">
        <v>830</v>
      </c>
      <c r="C240" s="134"/>
      <c r="D240" s="135"/>
      <c r="E240" s="185" t="s">
        <v>736</v>
      </c>
      <c r="F240" s="141"/>
      <c r="G240" s="141"/>
      <c r="H240" s="141"/>
      <c r="I240" s="141"/>
      <c r="J240" s="141"/>
      <c r="K240" s="186"/>
      <c r="L240" s="187" t="s">
        <v>773</v>
      </c>
      <c r="M240" s="141"/>
      <c r="N240" s="141"/>
      <c r="O240" s="141"/>
      <c r="P240" s="186"/>
      <c r="Q240" s="189" t="s">
        <v>830</v>
      </c>
      <c r="R240" s="131"/>
      <c r="S240" s="132"/>
      <c r="T240" s="185" t="s">
        <v>736</v>
      </c>
      <c r="U240" s="141"/>
      <c r="V240" s="141"/>
      <c r="W240" s="141"/>
      <c r="X240" s="141"/>
      <c r="Y240" s="186"/>
    </row>
    <row r="241" spans="1:25">
      <c r="A241" s="137"/>
      <c r="B241" s="51" t="s">
        <v>831</v>
      </c>
      <c r="C241" s="51" t="s">
        <v>832</v>
      </c>
      <c r="D241" s="51" t="s">
        <v>833</v>
      </c>
      <c r="E241" s="130"/>
      <c r="F241" s="131"/>
      <c r="G241" s="131"/>
      <c r="H241" s="131"/>
      <c r="I241" s="131"/>
      <c r="J241" s="131"/>
      <c r="K241" s="132"/>
      <c r="L241" s="130"/>
      <c r="M241" s="131"/>
      <c r="N241" s="131"/>
      <c r="O241" s="131"/>
      <c r="P241" s="132"/>
      <c r="Q241" s="51" t="s">
        <v>831</v>
      </c>
      <c r="R241" s="51" t="s">
        <v>832</v>
      </c>
      <c r="S241" s="51" t="s">
        <v>833</v>
      </c>
      <c r="T241" s="130"/>
      <c r="U241" s="131"/>
      <c r="V241" s="131"/>
      <c r="W241" s="131"/>
      <c r="X241" s="131"/>
      <c r="Y241" s="132"/>
    </row>
    <row r="242" spans="1:25">
      <c r="A242" s="153" t="s">
        <v>1048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>
      <c r="A243" s="104" t="s">
        <v>1049</v>
      </c>
      <c r="B243" s="66"/>
      <c r="C243" s="66"/>
      <c r="D243" s="88">
        <f>SUM(B243:C243)</f>
        <v>0</v>
      </c>
      <c r="E243" s="158"/>
      <c r="F243" s="159"/>
      <c r="G243" s="159"/>
      <c r="H243" s="159"/>
      <c r="I243" s="159"/>
      <c r="J243" s="159"/>
      <c r="K243" s="157"/>
      <c r="L243" s="160" t="s">
        <v>1050</v>
      </c>
      <c r="M243" s="159"/>
      <c r="N243" s="159"/>
      <c r="O243" s="159"/>
      <c r="P243" s="157"/>
      <c r="Q243" s="66"/>
      <c r="R243" s="66"/>
      <c r="S243" s="88">
        <f>SUM(Q243:R243)</f>
        <v>0</v>
      </c>
      <c r="T243" s="158"/>
      <c r="U243" s="159"/>
      <c r="V243" s="159"/>
      <c r="W243" s="159"/>
      <c r="X243" s="159"/>
      <c r="Y243" s="157"/>
    </row>
    <row r="244" spans="1:25">
      <c r="A244" s="104" t="s">
        <v>1051</v>
      </c>
      <c r="B244" s="66"/>
      <c r="C244" s="66"/>
      <c r="D244" s="88">
        <f>SUM(B244:C244)</f>
        <v>0</v>
      </c>
      <c r="E244" s="158"/>
      <c r="F244" s="159"/>
      <c r="G244" s="159"/>
      <c r="H244" s="159"/>
      <c r="I244" s="159"/>
      <c r="J244" s="159"/>
      <c r="K244" s="157"/>
      <c r="L244" s="160" t="s">
        <v>1051</v>
      </c>
      <c r="M244" s="159"/>
      <c r="N244" s="159"/>
      <c r="O244" s="159"/>
      <c r="P244" s="157"/>
      <c r="Q244" s="66"/>
      <c r="R244" s="66"/>
      <c r="S244" s="88">
        <f>SUM(Q244:R244)</f>
        <v>0</v>
      </c>
      <c r="T244" s="158"/>
      <c r="U244" s="159"/>
      <c r="V244" s="159"/>
      <c r="W244" s="159"/>
      <c r="X244" s="159"/>
      <c r="Y244" s="157"/>
    </row>
    <row r="245" spans="1:25">
      <c r="A245" s="104" t="s">
        <v>1052</v>
      </c>
      <c r="B245" s="66"/>
      <c r="C245" s="66"/>
      <c r="D245" s="88">
        <f>SUM(B245:C245)</f>
        <v>0</v>
      </c>
      <c r="E245" s="158"/>
      <c r="F245" s="159"/>
      <c r="G245" s="159"/>
      <c r="H245" s="159"/>
      <c r="I245" s="159"/>
      <c r="J245" s="159"/>
      <c r="K245" s="157"/>
      <c r="L245" s="160" t="s">
        <v>1052</v>
      </c>
      <c r="M245" s="159"/>
      <c r="N245" s="159"/>
      <c r="O245" s="159"/>
      <c r="P245" s="157"/>
      <c r="Q245" s="66"/>
      <c r="R245" s="66"/>
      <c r="S245" s="88">
        <f>SUM(Q245:R245)</f>
        <v>0</v>
      </c>
      <c r="T245" s="158"/>
      <c r="U245" s="159"/>
      <c r="V245" s="159"/>
      <c r="W245" s="159"/>
      <c r="X245" s="159"/>
      <c r="Y245" s="157"/>
    </row>
    <row r="246" spans="1:25">
      <c r="A246" s="104" t="s">
        <v>1053</v>
      </c>
      <c r="B246" s="66"/>
      <c r="C246" s="66"/>
      <c r="D246" s="88">
        <f>SUM(B246:C246)</f>
        <v>0</v>
      </c>
      <c r="E246" s="158"/>
      <c r="F246" s="159"/>
      <c r="G246" s="159"/>
      <c r="H246" s="159"/>
      <c r="I246" s="159"/>
      <c r="J246" s="159"/>
      <c r="K246" s="157"/>
      <c r="L246" s="160" t="s">
        <v>1053</v>
      </c>
      <c r="M246" s="159"/>
      <c r="N246" s="159"/>
      <c r="O246" s="159"/>
      <c r="P246" s="157"/>
      <c r="Q246" s="66"/>
      <c r="R246" s="66"/>
      <c r="S246" s="88">
        <f>SUM(Q246:R246)</f>
        <v>0</v>
      </c>
      <c r="T246" s="158"/>
      <c r="U246" s="159"/>
      <c r="V246" s="159"/>
      <c r="W246" s="159"/>
      <c r="X246" s="159"/>
      <c r="Y246" s="157"/>
    </row>
    <row r="247" spans="1:25">
      <c r="A247" s="104" t="s">
        <v>1054</v>
      </c>
      <c r="B247" s="66"/>
      <c r="C247" s="66"/>
      <c r="D247" s="88">
        <f>SUM(B247:C247)</f>
        <v>0</v>
      </c>
      <c r="E247" s="158"/>
      <c r="F247" s="159"/>
      <c r="G247" s="159"/>
      <c r="H247" s="159"/>
      <c r="I247" s="159"/>
      <c r="J247" s="159"/>
      <c r="K247" s="157"/>
      <c r="L247" s="160" t="s">
        <v>1054</v>
      </c>
      <c r="M247" s="159"/>
      <c r="N247" s="159"/>
      <c r="O247" s="159"/>
      <c r="P247" s="157"/>
      <c r="Q247" s="66"/>
      <c r="R247" s="66"/>
      <c r="S247" s="88">
        <f>SUM(Q247:R247)</f>
        <v>0</v>
      </c>
      <c r="T247" s="158"/>
      <c r="U247" s="159"/>
      <c r="V247" s="159"/>
      <c r="W247" s="159"/>
      <c r="X247" s="159"/>
      <c r="Y247" s="157"/>
    </row>
    <row r="248" spans="1:25" customHeight="1" ht="24">
      <c r="A248" s="104" t="s">
        <v>1055</v>
      </c>
      <c r="B248" s="66"/>
      <c r="C248" s="66"/>
      <c r="D248" s="88">
        <f>SUM(B248:C248)</f>
        <v>0</v>
      </c>
      <c r="E248" s="158"/>
      <c r="F248" s="159"/>
      <c r="G248" s="159"/>
      <c r="H248" s="159"/>
      <c r="I248" s="159"/>
      <c r="J248" s="159"/>
      <c r="K248" s="157"/>
      <c r="L248" s="160" t="s">
        <v>1056</v>
      </c>
      <c r="M248" s="159"/>
      <c r="N248" s="159"/>
      <c r="O248" s="159"/>
      <c r="P248" s="157"/>
      <c r="Q248" s="66"/>
      <c r="R248" s="66"/>
      <c r="S248" s="88">
        <f>SUM(Q248:R248)</f>
        <v>0</v>
      </c>
      <c r="T248" s="158"/>
      <c r="U248" s="159"/>
      <c r="V248" s="159"/>
      <c r="W248" s="159"/>
      <c r="X248" s="159"/>
      <c r="Y248" s="157"/>
    </row>
    <row r="249" spans="1:25">
      <c r="A249" s="104" t="s">
        <v>1051</v>
      </c>
      <c r="B249" s="66"/>
      <c r="C249" s="66"/>
      <c r="D249" s="88">
        <f>SUM(B249:C249)</f>
        <v>0</v>
      </c>
      <c r="E249" s="158"/>
      <c r="F249" s="159"/>
      <c r="G249" s="159"/>
      <c r="H249" s="159"/>
      <c r="I249" s="159"/>
      <c r="J249" s="159"/>
      <c r="K249" s="157"/>
      <c r="L249" s="160" t="s">
        <v>1051</v>
      </c>
      <c r="M249" s="159"/>
      <c r="N249" s="159"/>
      <c r="O249" s="159"/>
      <c r="P249" s="157"/>
      <c r="Q249" s="66"/>
      <c r="R249" s="66"/>
      <c r="S249" s="88">
        <f>SUM(Q249:R249)</f>
        <v>0</v>
      </c>
      <c r="T249" s="158"/>
      <c r="U249" s="159"/>
      <c r="V249" s="159"/>
      <c r="W249" s="159"/>
      <c r="X249" s="159"/>
      <c r="Y249" s="157"/>
    </row>
    <row r="250" spans="1:25">
      <c r="A250" s="104" t="s">
        <v>1052</v>
      </c>
      <c r="B250" s="66"/>
      <c r="C250" s="66"/>
      <c r="D250" s="88">
        <f>SUM(B250:C250)</f>
        <v>0</v>
      </c>
      <c r="E250" s="158"/>
      <c r="F250" s="159"/>
      <c r="G250" s="159"/>
      <c r="H250" s="159"/>
      <c r="I250" s="159"/>
      <c r="J250" s="159"/>
      <c r="K250" s="157"/>
      <c r="L250" s="160" t="s">
        <v>1052</v>
      </c>
      <c r="M250" s="159"/>
      <c r="N250" s="159"/>
      <c r="O250" s="159"/>
      <c r="P250" s="157"/>
      <c r="Q250" s="66"/>
      <c r="R250" s="66"/>
      <c r="S250" s="88">
        <f>SUM(Q250:R250)</f>
        <v>0</v>
      </c>
      <c r="T250" s="158"/>
      <c r="U250" s="159"/>
      <c r="V250" s="159"/>
      <c r="W250" s="159"/>
      <c r="X250" s="159"/>
      <c r="Y250" s="157"/>
    </row>
    <row r="251" spans="1:25">
      <c r="A251" s="104" t="s">
        <v>1053</v>
      </c>
      <c r="B251" s="66"/>
      <c r="C251" s="66"/>
      <c r="D251" s="88">
        <f>SUM(B251:C251)</f>
        <v>0</v>
      </c>
      <c r="E251" s="158"/>
      <c r="F251" s="159"/>
      <c r="G251" s="159"/>
      <c r="H251" s="159"/>
      <c r="I251" s="159"/>
      <c r="J251" s="159"/>
      <c r="K251" s="157"/>
      <c r="L251" s="160" t="s">
        <v>1053</v>
      </c>
      <c r="M251" s="159"/>
      <c r="N251" s="159"/>
      <c r="O251" s="159"/>
      <c r="P251" s="157"/>
      <c r="Q251" s="66"/>
      <c r="R251" s="66"/>
      <c r="S251" s="88">
        <f>SUM(Q251:R251)</f>
        <v>0</v>
      </c>
      <c r="T251" s="158"/>
      <c r="U251" s="159"/>
      <c r="V251" s="159"/>
      <c r="W251" s="159"/>
      <c r="X251" s="159"/>
      <c r="Y251" s="157"/>
    </row>
    <row r="252" spans="1:25">
      <c r="A252" s="104" t="s">
        <v>1054</v>
      </c>
      <c r="B252" s="66"/>
      <c r="C252" s="66"/>
      <c r="D252" s="88">
        <f>SUM(B252:C252)</f>
        <v>0</v>
      </c>
      <c r="E252" s="158"/>
      <c r="F252" s="159"/>
      <c r="G252" s="159"/>
      <c r="H252" s="159"/>
      <c r="I252" s="159"/>
      <c r="J252" s="159"/>
      <c r="K252" s="157"/>
      <c r="L252" s="160" t="s">
        <v>1054</v>
      </c>
      <c r="M252" s="159"/>
      <c r="N252" s="159"/>
      <c r="O252" s="159"/>
      <c r="P252" s="157"/>
      <c r="Q252" s="66"/>
      <c r="R252" s="66"/>
      <c r="S252" s="88">
        <f>SUM(Q252:R252)</f>
        <v>0</v>
      </c>
      <c r="T252" s="158"/>
      <c r="U252" s="159"/>
      <c r="V252" s="159"/>
      <c r="W252" s="159"/>
      <c r="X252" s="159"/>
      <c r="Y252" s="157"/>
    </row>
    <row r="253" spans="1:25" customHeight="1" ht="24">
      <c r="A253" s="104" t="s">
        <v>1057</v>
      </c>
      <c r="B253" s="66"/>
      <c r="C253" s="66"/>
      <c r="D253" s="88">
        <f>SUM(B253:C253)</f>
        <v>0</v>
      </c>
      <c r="E253" s="158"/>
      <c r="F253" s="159"/>
      <c r="G253" s="159"/>
      <c r="H253" s="159"/>
      <c r="I253" s="159"/>
      <c r="J253" s="159"/>
      <c r="K253" s="157"/>
      <c r="L253" s="160" t="s">
        <v>1058</v>
      </c>
      <c r="M253" s="159"/>
      <c r="N253" s="159"/>
      <c r="O253" s="159"/>
      <c r="P253" s="157"/>
      <c r="Q253" s="66"/>
      <c r="R253" s="66"/>
      <c r="S253" s="88">
        <f>SUM(Q253:R253)</f>
        <v>0</v>
      </c>
      <c r="T253" s="158"/>
      <c r="U253" s="159"/>
      <c r="V253" s="159"/>
      <c r="W253" s="159"/>
      <c r="X253" s="159"/>
      <c r="Y253" s="157"/>
    </row>
    <row r="254" spans="1:25">
      <c r="A254" s="104" t="s">
        <v>1051</v>
      </c>
      <c r="B254" s="66"/>
      <c r="C254" s="66"/>
      <c r="D254" s="88">
        <f>SUM(B254:C254)</f>
        <v>0</v>
      </c>
      <c r="E254" s="158"/>
      <c r="F254" s="159"/>
      <c r="G254" s="159"/>
      <c r="H254" s="159"/>
      <c r="I254" s="159"/>
      <c r="J254" s="159"/>
      <c r="K254" s="157"/>
      <c r="L254" s="160" t="s">
        <v>1051</v>
      </c>
      <c r="M254" s="159"/>
      <c r="N254" s="159"/>
      <c r="O254" s="159"/>
      <c r="P254" s="157"/>
      <c r="Q254" s="66"/>
      <c r="R254" s="66"/>
      <c r="S254" s="88">
        <f>SUM(Q254:R254)</f>
        <v>0</v>
      </c>
      <c r="T254" s="158"/>
      <c r="U254" s="159"/>
      <c r="V254" s="159"/>
      <c r="W254" s="159"/>
      <c r="X254" s="159"/>
      <c r="Y254" s="157"/>
    </row>
    <row r="255" spans="1:25">
      <c r="A255" s="104" t="s">
        <v>1052</v>
      </c>
      <c r="B255" s="66"/>
      <c r="C255" s="66"/>
      <c r="D255" s="88">
        <f>SUM(B255:C255)</f>
        <v>0</v>
      </c>
      <c r="E255" s="158"/>
      <c r="F255" s="159"/>
      <c r="G255" s="159"/>
      <c r="H255" s="159"/>
      <c r="I255" s="159"/>
      <c r="J255" s="159"/>
      <c r="K255" s="157"/>
      <c r="L255" s="160" t="s">
        <v>1052</v>
      </c>
      <c r="M255" s="159"/>
      <c r="N255" s="159"/>
      <c r="O255" s="159"/>
      <c r="P255" s="157"/>
      <c r="Q255" s="66"/>
      <c r="R255" s="66"/>
      <c r="S255" s="88">
        <f>SUM(Q255:R255)</f>
        <v>0</v>
      </c>
      <c r="T255" s="158"/>
      <c r="U255" s="159"/>
      <c r="V255" s="159"/>
      <c r="W255" s="159"/>
      <c r="X255" s="159"/>
      <c r="Y255" s="157"/>
    </row>
    <row r="256" spans="1:25">
      <c r="A256" s="104" t="s">
        <v>1053</v>
      </c>
      <c r="B256" s="66"/>
      <c r="C256" s="66"/>
      <c r="D256" s="88">
        <f>SUM(B256:C256)</f>
        <v>0</v>
      </c>
      <c r="E256" s="158"/>
      <c r="F256" s="159"/>
      <c r="G256" s="159"/>
      <c r="H256" s="159"/>
      <c r="I256" s="159"/>
      <c r="J256" s="159"/>
      <c r="K256" s="157"/>
      <c r="L256" s="160" t="s">
        <v>1053</v>
      </c>
      <c r="M256" s="159"/>
      <c r="N256" s="159"/>
      <c r="O256" s="159"/>
      <c r="P256" s="157"/>
      <c r="Q256" s="66"/>
      <c r="R256" s="66"/>
      <c r="S256" s="88">
        <f>SUM(Q256:R256)</f>
        <v>0</v>
      </c>
      <c r="T256" s="158"/>
      <c r="U256" s="159"/>
      <c r="V256" s="159"/>
      <c r="W256" s="159"/>
      <c r="X256" s="159"/>
      <c r="Y256" s="157"/>
    </row>
    <row r="257" spans="1:25">
      <c r="A257" s="104" t="s">
        <v>1054</v>
      </c>
      <c r="B257" s="66"/>
      <c r="C257" s="66"/>
      <c r="D257" s="88">
        <f>SUM(B257:C257)</f>
        <v>0</v>
      </c>
      <c r="E257" s="158"/>
      <c r="F257" s="159"/>
      <c r="G257" s="159"/>
      <c r="H257" s="159"/>
      <c r="I257" s="159"/>
      <c r="J257" s="159"/>
      <c r="K257" s="157"/>
      <c r="L257" s="160" t="s">
        <v>1054</v>
      </c>
      <c r="M257" s="159"/>
      <c r="N257" s="159"/>
      <c r="O257" s="159"/>
      <c r="P257" s="157"/>
      <c r="Q257" s="66"/>
      <c r="R257" s="66"/>
      <c r="S257" s="88">
        <f>SUM(Q257:R257)</f>
        <v>0</v>
      </c>
      <c r="T257" s="158"/>
      <c r="U257" s="159"/>
      <c r="V257" s="159"/>
      <c r="W257" s="159"/>
      <c r="X257" s="159"/>
      <c r="Y257" s="157"/>
    </row>
    <row r="258" spans="1:25">
      <c r="A258" s="104" t="s">
        <v>1059</v>
      </c>
      <c r="B258" s="66"/>
      <c r="C258" s="66"/>
      <c r="D258" s="88">
        <f>SUM(B258:C258)</f>
        <v>0</v>
      </c>
      <c r="E258" s="158"/>
      <c r="F258" s="159"/>
      <c r="G258" s="159"/>
      <c r="H258" s="159"/>
      <c r="I258" s="159"/>
      <c r="J258" s="159"/>
      <c r="K258" s="157"/>
      <c r="L258" s="160" t="s">
        <v>1060</v>
      </c>
      <c r="M258" s="159"/>
      <c r="N258" s="159"/>
      <c r="O258" s="159"/>
      <c r="P258" s="157"/>
      <c r="Q258" s="66"/>
      <c r="R258" s="66"/>
      <c r="S258" s="88">
        <f>SUM(Q258:R258)</f>
        <v>0</v>
      </c>
      <c r="T258" s="158"/>
      <c r="U258" s="159"/>
      <c r="V258" s="159"/>
      <c r="W258" s="159"/>
      <c r="X258" s="159"/>
      <c r="Y258" s="157"/>
    </row>
    <row r="259" spans="1:25">
      <c r="A259" s="104" t="s">
        <v>1061</v>
      </c>
      <c r="B259" s="66"/>
      <c r="C259" s="66"/>
      <c r="D259" s="88">
        <f>SUM(B259:C259)</f>
        <v>0</v>
      </c>
      <c r="E259" s="158"/>
      <c r="F259" s="159"/>
      <c r="G259" s="159"/>
      <c r="H259" s="159"/>
      <c r="I259" s="159"/>
      <c r="J259" s="159"/>
      <c r="K259" s="157"/>
      <c r="L259" s="160" t="s">
        <v>1051</v>
      </c>
      <c r="M259" s="159"/>
      <c r="N259" s="159"/>
      <c r="O259" s="159"/>
      <c r="P259" s="157"/>
      <c r="Q259" s="66"/>
      <c r="R259" s="66"/>
      <c r="S259" s="88">
        <f>SUM(Q259:R259)</f>
        <v>0</v>
      </c>
      <c r="T259" s="158"/>
      <c r="U259" s="159"/>
      <c r="V259" s="159"/>
      <c r="W259" s="159"/>
      <c r="X259" s="159"/>
      <c r="Y259" s="157"/>
    </row>
    <row r="260" spans="1:25">
      <c r="A260" s="104" t="s">
        <v>1062</v>
      </c>
      <c r="B260" s="66">
        <v>55.0</v>
      </c>
      <c r="C260" s="66">
        <v>66.0</v>
      </c>
      <c r="D260" s="88">
        <f>SUM(B260:C260)</f>
        <v>121</v>
      </c>
      <c r="E260" s="158"/>
      <c r="F260" s="159"/>
      <c r="G260" s="159"/>
      <c r="H260" s="159"/>
      <c r="I260" s="159"/>
      <c r="J260" s="159"/>
      <c r="K260" s="157"/>
      <c r="L260" s="160" t="s">
        <v>1052</v>
      </c>
      <c r="M260" s="159"/>
      <c r="N260" s="159"/>
      <c r="O260" s="159"/>
      <c r="P260" s="157"/>
      <c r="Q260" s="66"/>
      <c r="R260" s="66"/>
      <c r="S260" s="88">
        <f>SUM(Q260:R260)</f>
        <v>0</v>
      </c>
      <c r="T260" s="158"/>
      <c r="U260" s="159"/>
      <c r="V260" s="159"/>
      <c r="W260" s="159"/>
      <c r="X260" s="159"/>
      <c r="Y260" s="157"/>
    </row>
    <row r="261" spans="1:25">
      <c r="A261" s="104" t="s">
        <v>1063</v>
      </c>
      <c r="B261" s="66"/>
      <c r="C261" s="66"/>
      <c r="D261" s="88">
        <f>SUM(B261:C261)</f>
        <v>0</v>
      </c>
      <c r="E261" s="158"/>
      <c r="F261" s="159"/>
      <c r="G261" s="159"/>
      <c r="H261" s="159"/>
      <c r="I261" s="159"/>
      <c r="J261" s="159"/>
      <c r="K261" s="157"/>
      <c r="L261" s="160" t="s">
        <v>1053</v>
      </c>
      <c r="M261" s="159"/>
      <c r="N261" s="159"/>
      <c r="O261" s="159"/>
      <c r="P261" s="157"/>
      <c r="Q261" s="66"/>
      <c r="R261" s="66"/>
      <c r="S261" s="88">
        <f>SUM(Q261:R261)</f>
        <v>0</v>
      </c>
      <c r="T261" s="158"/>
      <c r="U261" s="159"/>
      <c r="V261" s="159"/>
      <c r="W261" s="159"/>
      <c r="X261" s="159"/>
      <c r="Y261" s="157"/>
    </row>
    <row r="262" spans="1:25">
      <c r="A262" s="104" t="s">
        <v>1064</v>
      </c>
      <c r="B262" s="66"/>
      <c r="C262" s="66"/>
      <c r="D262" s="88">
        <f>SUM(B262:C262)</f>
        <v>0</v>
      </c>
      <c r="E262" s="158"/>
      <c r="F262" s="159"/>
      <c r="G262" s="159"/>
      <c r="H262" s="159"/>
      <c r="I262" s="159"/>
      <c r="J262" s="159"/>
      <c r="K262" s="157"/>
      <c r="L262" s="160" t="s">
        <v>1054</v>
      </c>
      <c r="M262" s="159"/>
      <c r="N262" s="159"/>
      <c r="O262" s="159"/>
      <c r="P262" s="157"/>
      <c r="Q262" s="66"/>
      <c r="R262" s="66"/>
      <c r="S262" s="88">
        <f>SUM(Q262:R262)</f>
        <v>0</v>
      </c>
      <c r="T262" s="158"/>
      <c r="U262" s="159"/>
      <c r="V262" s="159"/>
      <c r="W262" s="159"/>
      <c r="X262" s="159"/>
      <c r="Y262" s="157"/>
    </row>
    <row r="263" spans="1:25">
      <c r="A263" s="104" t="s">
        <v>1065</v>
      </c>
      <c r="B263" s="66"/>
      <c r="C263" s="66"/>
      <c r="D263" s="88">
        <f>SUM(B263:C263)</f>
        <v>0</v>
      </c>
      <c r="E263" s="158"/>
      <c r="F263" s="159"/>
      <c r="G263" s="159"/>
      <c r="H263" s="159"/>
      <c r="I263" s="159"/>
      <c r="J263" s="159"/>
      <c r="K263" s="157"/>
      <c r="L263" s="160" t="s">
        <v>1066</v>
      </c>
      <c r="M263" s="159"/>
      <c r="N263" s="159"/>
      <c r="O263" s="159"/>
      <c r="P263" s="157"/>
      <c r="Q263" s="66">
        <f>SUM(Q264,Q266,Q265,Q267)</f>
        <v>0</v>
      </c>
      <c r="R263" s="66">
        <f>SUM(R264,R266,R265,R267)</f>
        <v>0</v>
      </c>
      <c r="S263" s="88">
        <f>SUM(Q263:R263)</f>
        <v>0</v>
      </c>
      <c r="T263" s="208"/>
      <c r="U263" s="209"/>
      <c r="V263" s="209"/>
      <c r="W263" s="209"/>
      <c r="X263" s="209"/>
      <c r="Y263" s="210"/>
    </row>
    <row r="264" spans="1:25">
      <c r="A264" s="104" t="s">
        <v>1067</v>
      </c>
      <c r="B264" s="66"/>
      <c r="C264" s="66"/>
      <c r="D264" s="88">
        <f>SUM(B264:C264)</f>
        <v>0</v>
      </c>
      <c r="E264" s="158"/>
      <c r="F264" s="159"/>
      <c r="G264" s="159"/>
      <c r="H264" s="159"/>
      <c r="I264" s="159"/>
      <c r="J264" s="159"/>
      <c r="K264" s="157"/>
      <c r="L264" s="160" t="s">
        <v>1051</v>
      </c>
      <c r="M264" s="159"/>
      <c r="N264" s="159"/>
      <c r="O264" s="159"/>
      <c r="P264" s="157"/>
      <c r="Q264" s="66"/>
      <c r="R264" s="66"/>
      <c r="S264" s="88">
        <f>SUM(Q264:R264)</f>
        <v>0</v>
      </c>
      <c r="T264" s="211"/>
      <c r="U264" s="212"/>
      <c r="V264" s="212"/>
      <c r="W264" s="212"/>
      <c r="X264" s="212"/>
      <c r="Y264" s="213"/>
    </row>
    <row r="265" spans="1:25">
      <c r="A265" s="104" t="s">
        <v>1068</v>
      </c>
      <c r="B265" s="66"/>
      <c r="C265" s="66"/>
      <c r="D265" s="88">
        <f>SUM(B265:C265)</f>
        <v>0</v>
      </c>
      <c r="E265" s="158"/>
      <c r="F265" s="159"/>
      <c r="G265" s="159"/>
      <c r="H265" s="159"/>
      <c r="I265" s="159"/>
      <c r="J265" s="159"/>
      <c r="K265" s="157"/>
      <c r="L265" s="160" t="s">
        <v>1052</v>
      </c>
      <c r="M265" s="159"/>
      <c r="N265" s="159"/>
      <c r="O265" s="159"/>
      <c r="P265" s="157"/>
      <c r="Q265" s="66"/>
      <c r="R265" s="66"/>
      <c r="S265" s="88">
        <f>SUM(Q265:R265)</f>
        <v>0</v>
      </c>
      <c r="T265" s="211"/>
      <c r="U265" s="212"/>
      <c r="V265" s="212"/>
      <c r="W265" s="212"/>
      <c r="X265" s="212"/>
      <c r="Y265" s="213"/>
    </row>
    <row r="266" spans="1:25">
      <c r="A266" s="104" t="s">
        <v>1069</v>
      </c>
      <c r="B266" s="66"/>
      <c r="C266" s="66"/>
      <c r="D266" s="88">
        <f>SUM(B266:C266)</f>
        <v>0</v>
      </c>
      <c r="E266" s="158"/>
      <c r="F266" s="159"/>
      <c r="G266" s="159"/>
      <c r="H266" s="159"/>
      <c r="I266" s="159"/>
      <c r="J266" s="159"/>
      <c r="K266" s="157"/>
      <c r="L266" s="160" t="s">
        <v>1053</v>
      </c>
      <c r="M266" s="159"/>
      <c r="N266" s="159"/>
      <c r="O266" s="159"/>
      <c r="P266" s="157"/>
      <c r="Q266" s="66"/>
      <c r="R266" s="66"/>
      <c r="S266" s="88">
        <f>SUM(Q266:R266)</f>
        <v>0</v>
      </c>
      <c r="T266" s="211"/>
      <c r="U266" s="212"/>
      <c r="V266" s="212"/>
      <c r="W266" s="212"/>
      <c r="X266" s="212"/>
      <c r="Y266" s="213"/>
    </row>
    <row r="267" spans="1:25">
      <c r="A267" s="104" t="s">
        <v>1070</v>
      </c>
      <c r="B267" s="66"/>
      <c r="C267" s="66"/>
      <c r="D267" s="88">
        <f>SUM(B267:C267)</f>
        <v>0</v>
      </c>
      <c r="E267" s="158"/>
      <c r="F267" s="159"/>
      <c r="G267" s="159"/>
      <c r="H267" s="159"/>
      <c r="I267" s="159"/>
      <c r="J267" s="159"/>
      <c r="K267" s="157"/>
      <c r="L267" s="160" t="s">
        <v>1054</v>
      </c>
      <c r="M267" s="159"/>
      <c r="N267" s="159"/>
      <c r="O267" s="159"/>
      <c r="P267" s="157"/>
      <c r="Q267" s="66"/>
      <c r="R267" s="66"/>
      <c r="S267" s="88">
        <f>SUM(Q267:R267)</f>
        <v>0</v>
      </c>
      <c r="T267" s="214"/>
      <c r="U267" s="215"/>
      <c r="V267" s="215"/>
      <c r="W267" s="215"/>
      <c r="X267" s="215"/>
      <c r="Y267" s="216"/>
    </row>
    <row r="268" spans="1:25">
      <c r="A268" s="104" t="s">
        <v>1071</v>
      </c>
      <c r="B268" s="66"/>
      <c r="C268" s="66"/>
      <c r="D268" s="88">
        <f>SUM(B268:C268)</f>
        <v>0</v>
      </c>
      <c r="E268" s="158"/>
      <c r="F268" s="159"/>
      <c r="G268" s="159"/>
      <c r="H268" s="159"/>
      <c r="I268" s="159"/>
      <c r="J268" s="159"/>
      <c r="K268" s="157"/>
      <c r="L268" s="105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7"/>
    </row>
    <row r="269" spans="1:25">
      <c r="A269" s="148" t="s">
        <v>773</v>
      </c>
      <c r="B269" s="133" t="s">
        <v>830</v>
      </c>
      <c r="C269" s="134"/>
      <c r="D269" s="135"/>
      <c r="E269" s="127" t="s">
        <v>736</v>
      </c>
      <c r="F269" s="128"/>
      <c r="G269" s="128"/>
      <c r="H269" s="128"/>
      <c r="I269" s="128"/>
      <c r="J269" s="128"/>
      <c r="K269" s="129"/>
      <c r="L269" s="187" t="s">
        <v>773</v>
      </c>
      <c r="M269" s="141"/>
      <c r="N269" s="141"/>
      <c r="O269" s="141"/>
      <c r="P269" s="186"/>
      <c r="Q269" s="189" t="s">
        <v>830</v>
      </c>
      <c r="R269" s="131"/>
      <c r="S269" s="132"/>
      <c r="T269" s="185" t="s">
        <v>736</v>
      </c>
      <c r="U269" s="141"/>
      <c r="V269" s="141"/>
      <c r="W269" s="141"/>
      <c r="X269" s="141"/>
      <c r="Y269" s="186"/>
    </row>
    <row r="270" spans="1:25">
      <c r="A270" s="137"/>
      <c r="B270" s="51" t="s">
        <v>831</v>
      </c>
      <c r="C270" s="51" t="s">
        <v>832</v>
      </c>
      <c r="D270" s="51" t="s">
        <v>833</v>
      </c>
      <c r="E270" s="130"/>
      <c r="F270" s="131"/>
      <c r="G270" s="131"/>
      <c r="H270" s="131"/>
      <c r="I270" s="131"/>
      <c r="J270" s="131"/>
      <c r="K270" s="132"/>
      <c r="L270" s="130"/>
      <c r="M270" s="131"/>
      <c r="N270" s="131"/>
      <c r="O270" s="131"/>
      <c r="P270" s="132"/>
      <c r="Q270" s="51" t="s">
        <v>831</v>
      </c>
      <c r="R270" s="51" t="s">
        <v>832</v>
      </c>
      <c r="S270" s="51" t="s">
        <v>833</v>
      </c>
      <c r="T270" s="130"/>
      <c r="U270" s="131"/>
      <c r="V270" s="131"/>
      <c r="W270" s="131"/>
      <c r="X270" s="131"/>
      <c r="Y270" s="132"/>
    </row>
    <row r="271" spans="1:25">
      <c r="A271" s="153" t="s">
        <v>1072</v>
      </c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 customHeight="1" ht="24">
      <c r="A272" s="70" t="s">
        <v>1073</v>
      </c>
      <c r="B272" s="66"/>
      <c r="C272" s="66"/>
      <c r="D272" s="88">
        <f>SUM(B272:C272)</f>
        <v>0</v>
      </c>
      <c r="E272" s="158"/>
      <c r="F272" s="159"/>
      <c r="G272" s="159"/>
      <c r="H272" s="159"/>
      <c r="I272" s="159"/>
      <c r="J272" s="159"/>
      <c r="K272" s="157"/>
      <c r="L272" s="160" t="s">
        <v>1074</v>
      </c>
      <c r="M272" s="159"/>
      <c r="N272" s="159"/>
      <c r="O272" s="159"/>
      <c r="P272" s="157"/>
      <c r="Q272" s="66"/>
      <c r="R272" s="66"/>
      <c r="S272" s="88">
        <f>SUM(Q272:R272)</f>
        <v>0</v>
      </c>
      <c r="T272" s="158"/>
      <c r="U272" s="159"/>
      <c r="V272" s="159"/>
      <c r="W272" s="159"/>
      <c r="X272" s="159"/>
      <c r="Y272" s="157"/>
    </row>
    <row r="273" spans="1:25">
      <c r="A273" s="70" t="s">
        <v>1031</v>
      </c>
      <c r="B273" s="66"/>
      <c r="C273" s="66"/>
      <c r="D273" s="88">
        <f>SUM(B273:C273)</f>
        <v>0</v>
      </c>
      <c r="E273" s="158"/>
      <c r="F273" s="159"/>
      <c r="G273" s="159"/>
      <c r="H273" s="159"/>
      <c r="I273" s="159"/>
      <c r="J273" s="159"/>
      <c r="K273" s="157"/>
      <c r="L273" s="160" t="s">
        <v>1075</v>
      </c>
      <c r="M273" s="159"/>
      <c r="N273" s="159"/>
      <c r="O273" s="159"/>
      <c r="P273" s="157"/>
      <c r="Q273" s="66">
        <v>77.0</v>
      </c>
      <c r="R273" s="66">
        <v>88.0</v>
      </c>
      <c r="S273" s="88">
        <f>SUM(Q273:R273)</f>
        <v>165</v>
      </c>
      <c r="T273" s="158"/>
      <c r="U273" s="159"/>
      <c r="V273" s="159"/>
      <c r="W273" s="159"/>
      <c r="X273" s="159"/>
      <c r="Y273" s="157"/>
    </row>
    <row r="274" spans="1:25">
      <c r="A274" s="70" t="s">
        <v>1033</v>
      </c>
      <c r="B274" s="66"/>
      <c r="C274" s="66"/>
      <c r="D274" s="88">
        <f>SUM(B274:C274)</f>
        <v>0</v>
      </c>
      <c r="E274" s="158"/>
      <c r="F274" s="159"/>
      <c r="G274" s="159"/>
      <c r="H274" s="159"/>
      <c r="I274" s="159"/>
      <c r="J274" s="159"/>
      <c r="K274" s="157"/>
      <c r="L274" s="160" t="s">
        <v>1076</v>
      </c>
      <c r="M274" s="159"/>
      <c r="N274" s="159"/>
      <c r="O274" s="159"/>
      <c r="P274" s="157"/>
      <c r="Q274" s="66"/>
      <c r="R274" s="66"/>
      <c r="S274" s="88">
        <f>SUM(Q274:R274)</f>
        <v>0</v>
      </c>
      <c r="T274" s="158"/>
      <c r="U274" s="159"/>
      <c r="V274" s="159"/>
      <c r="W274" s="159"/>
      <c r="X274" s="159"/>
      <c r="Y274" s="157"/>
    </row>
    <row r="275" spans="1:25">
      <c r="A275" s="70" t="s">
        <v>1077</v>
      </c>
      <c r="B275" s="66"/>
      <c r="C275" s="66"/>
      <c r="D275" s="88">
        <f>SUM(B275:C275)</f>
        <v>0</v>
      </c>
      <c r="E275" s="158"/>
      <c r="F275" s="159"/>
      <c r="G275" s="159"/>
      <c r="H275" s="159"/>
      <c r="I275" s="159"/>
      <c r="J275" s="159"/>
      <c r="K275" s="157"/>
      <c r="L275" s="160" t="s">
        <v>1078</v>
      </c>
      <c r="M275" s="159"/>
      <c r="N275" s="159"/>
      <c r="O275" s="159"/>
      <c r="P275" s="157"/>
      <c r="Q275" s="66"/>
      <c r="R275" s="66"/>
      <c r="S275" s="88">
        <f>SUM(Q275:R275)</f>
        <v>0</v>
      </c>
      <c r="T275" s="158"/>
      <c r="U275" s="159"/>
      <c r="V275" s="159"/>
      <c r="W275" s="159"/>
      <c r="X275" s="159"/>
      <c r="Y275" s="157"/>
    </row>
    <row r="276" spans="1:25">
      <c r="A276" s="70" t="s">
        <v>1079</v>
      </c>
      <c r="B276" s="66"/>
      <c r="C276" s="66"/>
      <c r="D276" s="88">
        <f>SUM(B276:C276)</f>
        <v>0</v>
      </c>
      <c r="E276" s="158"/>
      <c r="F276" s="159"/>
      <c r="G276" s="159"/>
      <c r="H276" s="159"/>
      <c r="I276" s="159"/>
      <c r="J276" s="159"/>
      <c r="K276" s="157"/>
      <c r="L276" s="160" t="s">
        <v>1080</v>
      </c>
      <c r="M276" s="159"/>
      <c r="N276" s="159"/>
      <c r="O276" s="159"/>
      <c r="P276" s="157"/>
      <c r="Q276" s="66"/>
      <c r="R276" s="66"/>
      <c r="S276" s="88">
        <f>SUM(Q276:R276)</f>
        <v>0</v>
      </c>
      <c r="T276" s="158"/>
      <c r="U276" s="159"/>
      <c r="V276" s="159"/>
      <c r="W276" s="159"/>
      <c r="X276" s="159"/>
      <c r="Y276" s="157"/>
    </row>
    <row r="277" spans="1:25">
      <c r="A277" s="70" t="s">
        <v>1081</v>
      </c>
      <c r="B277" s="66"/>
      <c r="C277" s="66"/>
      <c r="D277" s="88">
        <f>SUM(B277:C277)</f>
        <v>0</v>
      </c>
      <c r="E277" s="158"/>
      <c r="F277" s="159"/>
      <c r="G277" s="159"/>
      <c r="H277" s="159"/>
      <c r="I277" s="159"/>
      <c r="J277" s="159"/>
      <c r="K277" s="157"/>
      <c r="L277" s="160" t="s">
        <v>1082</v>
      </c>
      <c r="M277" s="159"/>
      <c r="N277" s="159"/>
      <c r="O277" s="159"/>
      <c r="P277" s="157"/>
      <c r="Q277" s="66"/>
      <c r="R277" s="66"/>
      <c r="S277" s="88">
        <f>SUM(Q277:R277)</f>
        <v>0</v>
      </c>
      <c r="T277" s="158"/>
      <c r="U277" s="159"/>
      <c r="V277" s="159"/>
      <c r="W277" s="159"/>
      <c r="X277" s="159"/>
      <c r="Y277" s="157"/>
    </row>
    <row r="278" spans="1:25" customHeight="1" ht="24">
      <c r="A278" s="70" t="s">
        <v>1083</v>
      </c>
      <c r="B278" s="66"/>
      <c r="C278" s="66"/>
      <c r="D278" s="88">
        <f>SUM(B278:C278)</f>
        <v>0</v>
      </c>
      <c r="E278" s="158"/>
      <c r="F278" s="159"/>
      <c r="G278" s="159"/>
      <c r="H278" s="159"/>
      <c r="I278" s="159"/>
      <c r="J278" s="159"/>
      <c r="K278" s="157"/>
      <c r="L278" s="160" t="s">
        <v>1084</v>
      </c>
      <c r="M278" s="159"/>
      <c r="N278" s="159"/>
      <c r="O278" s="159"/>
      <c r="P278" s="157"/>
      <c r="Q278" s="66"/>
      <c r="R278" s="66"/>
      <c r="S278" s="88">
        <f>SUM(Q278:R278)</f>
        <v>0</v>
      </c>
      <c r="T278" s="158"/>
      <c r="U278" s="159"/>
      <c r="V278" s="159"/>
      <c r="W278" s="159"/>
      <c r="X278" s="159"/>
      <c r="Y278" s="157"/>
    </row>
    <row r="279" spans="1:25">
      <c r="A279" s="70" t="s">
        <v>1075</v>
      </c>
      <c r="B279" s="66"/>
      <c r="C279" s="66"/>
      <c r="D279" s="88">
        <f>SUM(B279:C279)</f>
        <v>0</v>
      </c>
      <c r="E279" s="158"/>
      <c r="F279" s="159"/>
      <c r="G279" s="159"/>
      <c r="H279" s="159"/>
      <c r="I279" s="159"/>
      <c r="J279" s="159"/>
      <c r="K279" s="157"/>
      <c r="L279" s="160" t="s">
        <v>1085</v>
      </c>
      <c r="M279" s="159"/>
      <c r="N279" s="159"/>
      <c r="O279" s="159"/>
      <c r="P279" s="157"/>
      <c r="Q279" s="66"/>
      <c r="R279" s="66"/>
      <c r="S279" s="88">
        <f>SUM(Q279:R279)</f>
        <v>0</v>
      </c>
      <c r="T279" s="158"/>
      <c r="U279" s="159"/>
      <c r="V279" s="159"/>
      <c r="W279" s="159"/>
      <c r="X279" s="159"/>
      <c r="Y279" s="157"/>
    </row>
    <row r="280" spans="1:25">
      <c r="A280" s="70" t="s">
        <v>1076</v>
      </c>
      <c r="B280" s="66"/>
      <c r="C280" s="66"/>
      <c r="D280" s="88">
        <f>SUM(B280:C280)</f>
        <v>0</v>
      </c>
      <c r="E280" s="158"/>
      <c r="F280" s="159"/>
      <c r="G280" s="159"/>
      <c r="H280" s="159"/>
      <c r="I280" s="159"/>
      <c r="J280" s="159"/>
      <c r="K280" s="157"/>
      <c r="L280" s="160" t="s">
        <v>1086</v>
      </c>
      <c r="M280" s="159"/>
      <c r="N280" s="159"/>
      <c r="O280" s="159"/>
      <c r="P280" s="157"/>
      <c r="Q280" s="66"/>
      <c r="R280" s="66"/>
      <c r="S280" s="88">
        <f>SUM(Q280:R280)</f>
        <v>0</v>
      </c>
      <c r="T280" s="158"/>
      <c r="U280" s="159"/>
      <c r="V280" s="159"/>
      <c r="W280" s="159"/>
      <c r="X280" s="159"/>
      <c r="Y280" s="157"/>
    </row>
    <row r="281" spans="1:25">
      <c r="A281" s="70" t="s">
        <v>1078</v>
      </c>
      <c r="B281" s="66"/>
      <c r="C281" s="66"/>
      <c r="D281" s="88">
        <f>SUM(B281:C281)</f>
        <v>0</v>
      </c>
      <c r="E281" s="158"/>
      <c r="F281" s="159"/>
      <c r="G281" s="159"/>
      <c r="H281" s="159"/>
      <c r="I281" s="159"/>
      <c r="J281" s="159"/>
      <c r="K281" s="157"/>
      <c r="L281" s="160" t="s">
        <v>1087</v>
      </c>
      <c r="M281" s="159"/>
      <c r="N281" s="159"/>
      <c r="O281" s="159"/>
      <c r="P281" s="157"/>
      <c r="Q281" s="66"/>
      <c r="R281" s="66"/>
      <c r="S281" s="88">
        <f>SUM(Q281:R281)</f>
        <v>0</v>
      </c>
      <c r="T281" s="158"/>
      <c r="U281" s="159"/>
      <c r="V281" s="159"/>
      <c r="W281" s="159"/>
      <c r="X281" s="159"/>
      <c r="Y281" s="157"/>
    </row>
    <row r="282" spans="1:25">
      <c r="A282" s="70" t="s">
        <v>1080</v>
      </c>
      <c r="B282" s="66"/>
      <c r="C282" s="66"/>
      <c r="D282" s="88">
        <f>SUM(B282:C282)</f>
        <v>0</v>
      </c>
      <c r="E282" s="158"/>
      <c r="F282" s="159"/>
      <c r="G282" s="159"/>
      <c r="H282" s="159"/>
      <c r="I282" s="159"/>
      <c r="J282" s="159"/>
      <c r="K282" s="157"/>
      <c r="L282" s="160" t="s">
        <v>1088</v>
      </c>
      <c r="M282" s="159"/>
      <c r="N282" s="159"/>
      <c r="O282" s="159"/>
      <c r="P282" s="157"/>
      <c r="Q282" s="66"/>
      <c r="R282" s="66"/>
      <c r="S282" s="88">
        <f>SUM(Q282:R282)</f>
        <v>0</v>
      </c>
      <c r="T282" s="158"/>
      <c r="U282" s="159"/>
      <c r="V282" s="159"/>
      <c r="W282" s="159"/>
      <c r="X282" s="159"/>
      <c r="Y282" s="157"/>
    </row>
    <row r="283" spans="1:25">
      <c r="A283" s="70" t="s">
        <v>1082</v>
      </c>
      <c r="B283" s="66"/>
      <c r="C283" s="66"/>
      <c r="D283" s="88">
        <f>SUM(B283:C283)</f>
        <v>0</v>
      </c>
      <c r="E283" s="158"/>
      <c r="F283" s="159"/>
      <c r="G283" s="159"/>
      <c r="H283" s="159"/>
      <c r="I283" s="159"/>
      <c r="J283" s="159"/>
      <c r="K283" s="157"/>
      <c r="L283" s="160" t="s">
        <v>1089</v>
      </c>
      <c r="M283" s="159"/>
      <c r="N283" s="159"/>
      <c r="O283" s="159"/>
      <c r="P283" s="157"/>
      <c r="Q283" s="66"/>
      <c r="R283" s="66"/>
      <c r="S283" s="88">
        <f>SUM(Q283:R283)</f>
        <v>0</v>
      </c>
      <c r="T283" s="158"/>
      <c r="U283" s="159"/>
      <c r="V283" s="159"/>
      <c r="W283" s="159"/>
      <c r="X283" s="159"/>
      <c r="Y283" s="157"/>
    </row>
    <row r="284" spans="1:25">
      <c r="A284" s="70" t="s">
        <v>1084</v>
      </c>
      <c r="B284" s="66"/>
      <c r="C284" s="66"/>
      <c r="D284" s="88">
        <f>SUM(B284:C284)</f>
        <v>0</v>
      </c>
      <c r="E284" s="158"/>
      <c r="F284" s="159"/>
      <c r="G284" s="159"/>
      <c r="H284" s="159"/>
      <c r="I284" s="159"/>
      <c r="J284" s="159"/>
      <c r="K284" s="157"/>
      <c r="L284" s="160" t="s">
        <v>1090</v>
      </c>
      <c r="M284" s="159"/>
      <c r="N284" s="159"/>
      <c r="O284" s="159"/>
      <c r="P284" s="157"/>
      <c r="Q284" s="66"/>
      <c r="R284" s="66"/>
      <c r="S284" s="88">
        <f>SUM(Q284:R284)</f>
        <v>0</v>
      </c>
      <c r="T284" s="158"/>
      <c r="U284" s="159"/>
      <c r="V284" s="159"/>
      <c r="W284" s="159"/>
      <c r="X284" s="159"/>
      <c r="Y284" s="157"/>
    </row>
    <row r="285" spans="1:25">
      <c r="A285" s="70" t="s">
        <v>1085</v>
      </c>
      <c r="B285" s="66"/>
      <c r="C285" s="66"/>
      <c r="D285" s="88">
        <f>SUM(B285:C285)</f>
        <v>0</v>
      </c>
      <c r="E285" s="158"/>
      <c r="F285" s="159"/>
      <c r="G285" s="159"/>
      <c r="H285" s="159"/>
      <c r="I285" s="159"/>
      <c r="J285" s="159"/>
      <c r="K285" s="157"/>
      <c r="L285" s="160" t="s">
        <v>1091</v>
      </c>
      <c r="M285" s="159"/>
      <c r="N285" s="159"/>
      <c r="O285" s="159"/>
      <c r="P285" s="157"/>
      <c r="Q285" s="66"/>
      <c r="R285" s="66"/>
      <c r="S285" s="88">
        <f>SUM(Q285:R285)</f>
        <v>0</v>
      </c>
      <c r="T285" s="158"/>
      <c r="U285" s="159"/>
      <c r="V285" s="159"/>
      <c r="W285" s="159"/>
      <c r="X285" s="159"/>
      <c r="Y285" s="157"/>
    </row>
    <row r="286" spans="1:25">
      <c r="A286" s="70" t="s">
        <v>1086</v>
      </c>
      <c r="B286" s="66"/>
      <c r="C286" s="66"/>
      <c r="D286" s="88">
        <f>SUM(B286:C286)</f>
        <v>0</v>
      </c>
      <c r="E286" s="158"/>
      <c r="F286" s="159"/>
      <c r="G286" s="159"/>
      <c r="H286" s="159"/>
      <c r="I286" s="159"/>
      <c r="J286" s="159"/>
      <c r="K286" s="157"/>
      <c r="L286" s="160" t="s">
        <v>1092</v>
      </c>
      <c r="M286" s="159"/>
      <c r="N286" s="159"/>
      <c r="O286" s="159"/>
      <c r="P286" s="157"/>
      <c r="Q286" s="66"/>
      <c r="R286" s="66"/>
      <c r="S286" s="88">
        <f>SUM(Q286:R286)</f>
        <v>0</v>
      </c>
      <c r="T286" s="158"/>
      <c r="U286" s="159"/>
      <c r="V286" s="159"/>
      <c r="W286" s="159"/>
      <c r="X286" s="159"/>
      <c r="Y286" s="157"/>
    </row>
    <row r="287" spans="1:25">
      <c r="A287" s="70" t="s">
        <v>1087</v>
      </c>
      <c r="B287" s="66"/>
      <c r="C287" s="66"/>
      <c r="D287" s="88">
        <f>SUM(B287:C287)</f>
        <v>0</v>
      </c>
      <c r="E287" s="158"/>
      <c r="F287" s="159"/>
      <c r="G287" s="159"/>
      <c r="H287" s="159"/>
      <c r="I287" s="159"/>
      <c r="J287" s="159"/>
      <c r="K287" s="157"/>
      <c r="L287" s="160" t="s">
        <v>1093</v>
      </c>
      <c r="M287" s="159"/>
      <c r="N287" s="159"/>
      <c r="O287" s="159"/>
      <c r="P287" s="157"/>
      <c r="Q287" s="66"/>
      <c r="R287" s="66"/>
      <c r="S287" s="88">
        <f>SUM(Q287:R287)</f>
        <v>0</v>
      </c>
      <c r="T287" s="158"/>
      <c r="U287" s="159"/>
      <c r="V287" s="159"/>
      <c r="W287" s="159"/>
      <c r="X287" s="159"/>
      <c r="Y287" s="157"/>
    </row>
    <row r="288" spans="1:25">
      <c r="A288" s="70" t="s">
        <v>1088</v>
      </c>
      <c r="B288" s="66"/>
      <c r="C288" s="66"/>
      <c r="D288" s="88">
        <f>SUM(B288:C288)</f>
        <v>0</v>
      </c>
      <c r="E288" s="158"/>
      <c r="F288" s="159"/>
      <c r="G288" s="159"/>
      <c r="H288" s="159"/>
      <c r="I288" s="159"/>
      <c r="J288" s="159"/>
      <c r="K288" s="157"/>
      <c r="L288" s="160" t="s">
        <v>1094</v>
      </c>
      <c r="M288" s="159"/>
      <c r="N288" s="159"/>
      <c r="O288" s="159"/>
      <c r="P288" s="157"/>
      <c r="Q288" s="66"/>
      <c r="R288" s="66"/>
      <c r="S288" s="88">
        <f>SUM(Q288:R288)</f>
        <v>0</v>
      </c>
      <c r="T288" s="158"/>
      <c r="U288" s="159"/>
      <c r="V288" s="159"/>
      <c r="W288" s="159"/>
      <c r="X288" s="159"/>
      <c r="Y288" s="157"/>
    </row>
    <row r="289" spans="1:25">
      <c r="A289" s="70" t="s">
        <v>1089</v>
      </c>
      <c r="B289" s="66"/>
      <c r="C289" s="66"/>
      <c r="D289" s="88">
        <f>SUM(B289:C289)</f>
        <v>0</v>
      </c>
      <c r="E289" s="158"/>
      <c r="F289" s="159"/>
      <c r="G289" s="159"/>
      <c r="H289" s="159"/>
      <c r="I289" s="159"/>
      <c r="J289" s="159"/>
      <c r="K289" s="157"/>
      <c r="L289" s="160" t="s">
        <v>1095</v>
      </c>
      <c r="M289" s="159"/>
      <c r="N289" s="159"/>
      <c r="O289" s="159"/>
      <c r="P289" s="157"/>
      <c r="Q289" s="66"/>
      <c r="R289" s="66"/>
      <c r="S289" s="88">
        <f>SUM(Q289:R289)</f>
        <v>0</v>
      </c>
      <c r="T289" s="158"/>
      <c r="U289" s="159"/>
      <c r="V289" s="159"/>
      <c r="W289" s="159"/>
      <c r="X289" s="159"/>
      <c r="Y289" s="157"/>
    </row>
    <row r="290" spans="1:25">
      <c r="A290" s="70" t="s">
        <v>1090</v>
      </c>
      <c r="B290" s="66"/>
      <c r="C290" s="66"/>
      <c r="D290" s="88">
        <f>SUM(B290:C290)</f>
        <v>0</v>
      </c>
      <c r="E290" s="158"/>
      <c r="F290" s="159"/>
      <c r="G290" s="159"/>
      <c r="H290" s="159"/>
      <c r="I290" s="159"/>
      <c r="J290" s="159"/>
      <c r="K290" s="157"/>
      <c r="L290" s="160" t="s">
        <v>1096</v>
      </c>
      <c r="M290" s="159"/>
      <c r="N290" s="159"/>
      <c r="O290" s="159"/>
      <c r="P290" s="157"/>
      <c r="Q290" s="66"/>
      <c r="R290" s="66"/>
      <c r="S290" s="88">
        <f>SUM(Q290:R290)</f>
        <v>0</v>
      </c>
      <c r="T290" s="158"/>
      <c r="U290" s="159"/>
      <c r="V290" s="159"/>
      <c r="W290" s="159"/>
      <c r="X290" s="159"/>
      <c r="Y290" s="157"/>
    </row>
    <row r="291" spans="1:25">
      <c r="A291" s="188" t="s">
        <v>773</v>
      </c>
      <c r="B291" s="189" t="s">
        <v>830</v>
      </c>
      <c r="C291" s="131"/>
      <c r="D291" s="132"/>
      <c r="E291" s="185" t="s">
        <v>736</v>
      </c>
      <c r="F291" s="141"/>
      <c r="G291" s="141"/>
      <c r="H291" s="141"/>
      <c r="I291" s="141"/>
      <c r="J291" s="141"/>
      <c r="K291" s="186"/>
      <c r="L291" s="187" t="s">
        <v>773</v>
      </c>
      <c r="M291" s="141"/>
      <c r="N291" s="141"/>
      <c r="O291" s="141"/>
      <c r="P291" s="186"/>
      <c r="Q291" s="133" t="s">
        <v>830</v>
      </c>
      <c r="R291" s="134"/>
      <c r="S291" s="135"/>
      <c r="T291" s="127" t="s">
        <v>736</v>
      </c>
      <c r="U291" s="128"/>
      <c r="V291" s="128"/>
      <c r="W291" s="128"/>
      <c r="X291" s="128"/>
      <c r="Y291" s="129"/>
    </row>
    <row r="292" spans="1:25">
      <c r="A292" s="137"/>
      <c r="B292" s="51" t="s">
        <v>831</v>
      </c>
      <c r="C292" s="51" t="s">
        <v>832</v>
      </c>
      <c r="D292" s="51" t="s">
        <v>833</v>
      </c>
      <c r="E292" s="130"/>
      <c r="F292" s="131"/>
      <c r="G292" s="131"/>
      <c r="H292" s="131"/>
      <c r="I292" s="131"/>
      <c r="J292" s="131"/>
      <c r="K292" s="132"/>
      <c r="L292" s="130"/>
      <c r="M292" s="131"/>
      <c r="N292" s="131"/>
      <c r="O292" s="131"/>
      <c r="P292" s="132"/>
      <c r="Q292" s="51" t="s">
        <v>831</v>
      </c>
      <c r="R292" s="51" t="s">
        <v>832</v>
      </c>
      <c r="S292" s="51" t="s">
        <v>833</v>
      </c>
      <c r="T292" s="130"/>
      <c r="U292" s="131"/>
      <c r="V292" s="131"/>
      <c r="W292" s="131"/>
      <c r="X292" s="131"/>
      <c r="Y292" s="132"/>
    </row>
    <row r="293" spans="1:25">
      <c r="A293" s="153" t="s">
        <v>1097</v>
      </c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 customHeight="1" ht="36">
      <c r="A294" s="70" t="s">
        <v>1098</v>
      </c>
      <c r="B294" s="66">
        <v>99.0</v>
      </c>
      <c r="C294" s="66">
        <v>0.0</v>
      </c>
      <c r="D294" s="84"/>
      <c r="E294" s="158"/>
      <c r="F294" s="159"/>
      <c r="G294" s="159"/>
      <c r="H294" s="159"/>
      <c r="I294" s="159"/>
      <c r="J294" s="159"/>
      <c r="K294" s="157"/>
      <c r="L294" s="160" t="s">
        <v>1099</v>
      </c>
      <c r="M294" s="159"/>
      <c r="N294" s="159"/>
      <c r="O294" s="159"/>
      <c r="P294" s="157"/>
      <c r="Q294" s="66"/>
      <c r="R294" s="66"/>
      <c r="S294" s="84"/>
      <c r="T294" s="158"/>
      <c r="U294" s="159"/>
      <c r="V294" s="159"/>
      <c r="W294" s="159"/>
      <c r="X294" s="159"/>
      <c r="Y294" s="157"/>
    </row>
    <row r="295" spans="1:25">
      <c r="A295" s="70" t="s">
        <v>1100</v>
      </c>
      <c r="B295" s="66"/>
      <c r="C295" s="66"/>
      <c r="D295" s="84"/>
      <c r="E295" s="158"/>
      <c r="F295" s="159"/>
      <c r="G295" s="159"/>
      <c r="H295" s="159"/>
      <c r="I295" s="159"/>
      <c r="J295" s="159"/>
      <c r="K295" s="157"/>
      <c r="L295" s="160" t="s">
        <v>1100</v>
      </c>
      <c r="M295" s="159"/>
      <c r="N295" s="159"/>
      <c r="O295" s="159"/>
      <c r="P295" s="157"/>
      <c r="Q295" s="66"/>
      <c r="R295" s="66"/>
      <c r="S295" s="84"/>
      <c r="T295" s="158"/>
      <c r="U295" s="159"/>
      <c r="V295" s="159"/>
      <c r="W295" s="159"/>
      <c r="X295" s="159"/>
      <c r="Y295" s="157"/>
    </row>
    <row r="296" spans="1:25">
      <c r="A296" s="70" t="s">
        <v>1101</v>
      </c>
      <c r="B296" s="66"/>
      <c r="C296" s="66"/>
      <c r="D296" s="84"/>
      <c r="E296" s="158"/>
      <c r="F296" s="159"/>
      <c r="G296" s="159"/>
      <c r="H296" s="159"/>
      <c r="I296" s="159"/>
      <c r="J296" s="159"/>
      <c r="K296" s="157"/>
      <c r="L296" s="160" t="s">
        <v>1101</v>
      </c>
      <c r="M296" s="159"/>
      <c r="N296" s="159"/>
      <c r="O296" s="159"/>
      <c r="P296" s="157"/>
      <c r="Q296" s="66"/>
      <c r="R296" s="66"/>
      <c r="S296" s="84"/>
      <c r="T296" s="158"/>
      <c r="U296" s="159"/>
      <c r="V296" s="159"/>
      <c r="W296" s="159"/>
      <c r="X296" s="159"/>
      <c r="Y296" s="157"/>
    </row>
    <row r="297" spans="1:25">
      <c r="A297" s="70" t="s">
        <v>1102</v>
      </c>
      <c r="B297" s="66"/>
      <c r="C297" s="66"/>
      <c r="D297" s="84"/>
      <c r="E297" s="158"/>
      <c r="F297" s="159"/>
      <c r="G297" s="159"/>
      <c r="H297" s="159"/>
      <c r="I297" s="159"/>
      <c r="J297" s="159"/>
      <c r="K297" s="157"/>
      <c r="L297" s="160" t="s">
        <v>1102</v>
      </c>
      <c r="M297" s="159"/>
      <c r="N297" s="159"/>
      <c r="O297" s="159"/>
      <c r="P297" s="157"/>
      <c r="Q297" s="66"/>
      <c r="R297" s="66"/>
      <c r="S297" s="84"/>
      <c r="T297" s="158"/>
      <c r="U297" s="159"/>
      <c r="V297" s="159"/>
      <c r="W297" s="159"/>
      <c r="X297" s="159"/>
      <c r="Y297" s="157"/>
    </row>
    <row r="298" spans="1:25" customHeight="1" ht="24">
      <c r="A298" s="70" t="s">
        <v>1103</v>
      </c>
      <c r="B298" s="66"/>
      <c r="C298" s="66"/>
      <c r="D298" s="84"/>
      <c r="E298" s="158"/>
      <c r="F298" s="159"/>
      <c r="G298" s="159"/>
      <c r="H298" s="159"/>
      <c r="I298" s="159"/>
      <c r="J298" s="159"/>
      <c r="K298" s="157"/>
      <c r="L298" s="160" t="s">
        <v>1104</v>
      </c>
      <c r="M298" s="159"/>
      <c r="N298" s="159"/>
      <c r="O298" s="159"/>
      <c r="P298" s="157"/>
      <c r="Q298" s="66"/>
      <c r="R298" s="66"/>
      <c r="S298" s="84"/>
      <c r="T298" s="158"/>
      <c r="U298" s="159"/>
      <c r="V298" s="159"/>
      <c r="W298" s="159"/>
      <c r="X298" s="159"/>
      <c r="Y298" s="157"/>
    </row>
    <row r="299" spans="1:25">
      <c r="A299" s="70" t="s">
        <v>1100</v>
      </c>
      <c r="B299" s="66"/>
      <c r="C299" s="66"/>
      <c r="D299" s="84"/>
      <c r="E299" s="158"/>
      <c r="F299" s="159"/>
      <c r="G299" s="159"/>
      <c r="H299" s="159"/>
      <c r="I299" s="159"/>
      <c r="J299" s="159"/>
      <c r="K299" s="157"/>
      <c r="L299" s="160" t="s">
        <v>1100</v>
      </c>
      <c r="M299" s="159"/>
      <c r="N299" s="159"/>
      <c r="O299" s="159"/>
      <c r="P299" s="157"/>
      <c r="Q299" s="66"/>
      <c r="R299" s="66"/>
      <c r="S299" s="84"/>
      <c r="T299" s="158"/>
      <c r="U299" s="159"/>
      <c r="V299" s="159"/>
      <c r="W299" s="159"/>
      <c r="X299" s="159"/>
      <c r="Y299" s="157"/>
    </row>
    <row r="300" spans="1:25">
      <c r="A300" s="70" t="s">
        <v>1101</v>
      </c>
      <c r="B300" s="66"/>
      <c r="C300" s="66"/>
      <c r="D300" s="84"/>
      <c r="E300" s="158"/>
      <c r="F300" s="159"/>
      <c r="G300" s="159"/>
      <c r="H300" s="159"/>
      <c r="I300" s="159"/>
      <c r="J300" s="159"/>
      <c r="K300" s="157"/>
      <c r="L300" s="160" t="s">
        <v>1101</v>
      </c>
      <c r="M300" s="159"/>
      <c r="N300" s="159"/>
      <c r="O300" s="159"/>
      <c r="P300" s="157"/>
      <c r="Q300" s="66"/>
      <c r="R300" s="66"/>
      <c r="S300" s="84"/>
      <c r="T300" s="158"/>
      <c r="U300" s="159"/>
      <c r="V300" s="159"/>
      <c r="W300" s="159"/>
      <c r="X300" s="159"/>
      <c r="Y300" s="157"/>
    </row>
    <row r="301" spans="1:25">
      <c r="A301" s="70" t="s">
        <v>1102</v>
      </c>
      <c r="B301" s="66"/>
      <c r="C301" s="66"/>
      <c r="D301" s="84"/>
      <c r="E301" s="158"/>
      <c r="F301" s="159"/>
      <c r="G301" s="159"/>
      <c r="H301" s="159"/>
      <c r="I301" s="159"/>
      <c r="J301" s="159"/>
      <c r="K301" s="157"/>
      <c r="L301" s="160" t="s">
        <v>1102</v>
      </c>
      <c r="M301" s="159"/>
      <c r="N301" s="159"/>
      <c r="O301" s="159"/>
      <c r="P301" s="157"/>
      <c r="Q301" s="66"/>
      <c r="R301" s="66"/>
      <c r="S301" s="84"/>
      <c r="T301" s="158"/>
      <c r="U301" s="159"/>
      <c r="V301" s="159"/>
      <c r="W301" s="159"/>
      <c r="X301" s="159"/>
      <c r="Y301" s="157"/>
    </row>
    <row r="302" spans="1:25" customHeight="1" ht="24">
      <c r="A302" s="70" t="s">
        <v>1105</v>
      </c>
      <c r="B302" s="66"/>
      <c r="C302" s="66"/>
      <c r="D302" s="84"/>
      <c r="E302" s="158"/>
      <c r="F302" s="159"/>
      <c r="G302" s="159"/>
      <c r="H302" s="159"/>
      <c r="I302" s="159"/>
      <c r="J302" s="159"/>
      <c r="K302" s="157"/>
      <c r="L302" s="160" t="s">
        <v>1106</v>
      </c>
      <c r="M302" s="159"/>
      <c r="N302" s="159"/>
      <c r="O302" s="159"/>
      <c r="P302" s="157"/>
      <c r="Q302" s="66"/>
      <c r="R302" s="66"/>
      <c r="S302" s="84"/>
      <c r="T302" s="158"/>
      <c r="U302" s="159"/>
      <c r="V302" s="159"/>
      <c r="W302" s="159"/>
      <c r="X302" s="159"/>
      <c r="Y302" s="157"/>
    </row>
    <row r="303" spans="1:25">
      <c r="A303" s="70" t="s">
        <v>1100</v>
      </c>
      <c r="B303" s="66"/>
      <c r="C303" s="66"/>
      <c r="D303" s="84"/>
      <c r="E303" s="158"/>
      <c r="F303" s="159"/>
      <c r="G303" s="159"/>
      <c r="H303" s="159"/>
      <c r="I303" s="159"/>
      <c r="J303" s="159"/>
      <c r="K303" s="157"/>
      <c r="L303" s="160" t="s">
        <v>1100</v>
      </c>
      <c r="M303" s="159"/>
      <c r="N303" s="159"/>
      <c r="O303" s="159"/>
      <c r="P303" s="157"/>
      <c r="Q303" s="66"/>
      <c r="R303" s="66"/>
      <c r="S303" s="84"/>
      <c r="T303" s="158"/>
      <c r="U303" s="159"/>
      <c r="V303" s="159"/>
      <c r="W303" s="159"/>
      <c r="X303" s="159"/>
      <c r="Y303" s="157"/>
    </row>
    <row r="304" spans="1:25">
      <c r="A304" s="70" t="s">
        <v>1101</v>
      </c>
      <c r="B304" s="66"/>
      <c r="C304" s="66"/>
      <c r="D304" s="84"/>
      <c r="E304" s="158"/>
      <c r="F304" s="159"/>
      <c r="G304" s="159"/>
      <c r="H304" s="159"/>
      <c r="I304" s="159"/>
      <c r="J304" s="159"/>
      <c r="K304" s="157"/>
      <c r="L304" s="160" t="s">
        <v>1101</v>
      </c>
      <c r="M304" s="159"/>
      <c r="N304" s="159"/>
      <c r="O304" s="159"/>
      <c r="P304" s="157"/>
      <c r="Q304" s="66"/>
      <c r="R304" s="66"/>
      <c r="S304" s="84"/>
      <c r="T304" s="158"/>
      <c r="U304" s="159"/>
      <c r="V304" s="159"/>
      <c r="W304" s="159"/>
      <c r="X304" s="159"/>
      <c r="Y304" s="157"/>
    </row>
    <row r="305" spans="1:25">
      <c r="A305" s="70" t="s">
        <v>1102</v>
      </c>
      <c r="B305" s="66"/>
      <c r="C305" s="66"/>
      <c r="D305" s="84"/>
      <c r="E305" s="158"/>
      <c r="F305" s="159"/>
      <c r="G305" s="159"/>
      <c r="H305" s="159"/>
      <c r="I305" s="159"/>
      <c r="J305" s="159"/>
      <c r="K305" s="157"/>
      <c r="L305" s="160" t="s">
        <v>1102</v>
      </c>
      <c r="M305" s="159"/>
      <c r="N305" s="159"/>
      <c r="O305" s="159"/>
      <c r="P305" s="157"/>
      <c r="Q305" s="66"/>
      <c r="R305" s="66"/>
      <c r="S305" s="84"/>
      <c r="T305" s="158"/>
      <c r="U305" s="159"/>
      <c r="V305" s="159"/>
      <c r="W305" s="159"/>
      <c r="X305" s="159"/>
      <c r="Y305" s="157"/>
    </row>
    <row r="306" spans="1:25">
      <c r="A306" s="64" t="s">
        <v>1107</v>
      </c>
      <c r="B306" s="101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</row>
    <row r="307" spans="1:25" customHeight="1" ht="24">
      <c r="A307" s="65" t="s">
        <v>1108</v>
      </c>
      <c r="B307" s="108"/>
      <c r="C307" s="109">
        <v>99.0</v>
      </c>
      <c r="D307" s="84"/>
      <c r="E307" s="158"/>
      <c r="F307" s="159"/>
      <c r="G307" s="159"/>
      <c r="H307" s="159"/>
      <c r="I307" s="159"/>
      <c r="J307" s="159"/>
      <c r="K307" s="157"/>
      <c r="L307" s="160" t="s">
        <v>1109</v>
      </c>
      <c r="M307" s="159"/>
      <c r="N307" s="159"/>
      <c r="O307" s="159"/>
      <c r="P307" s="157"/>
      <c r="Q307" s="108"/>
      <c r="R307" s="66"/>
      <c r="S307" s="84"/>
      <c r="T307" s="158"/>
      <c r="U307" s="159"/>
      <c r="V307" s="159"/>
      <c r="W307" s="159"/>
      <c r="X307" s="159"/>
      <c r="Y307" s="157"/>
    </row>
    <row r="308" spans="1:25" customHeight="1" ht="24">
      <c r="A308" s="65" t="s">
        <v>1110</v>
      </c>
      <c r="B308" s="110"/>
      <c r="C308" s="109"/>
      <c r="D308" s="84"/>
      <c r="E308" s="158"/>
      <c r="F308" s="159"/>
      <c r="G308" s="159"/>
      <c r="H308" s="159"/>
      <c r="I308" s="159"/>
      <c r="J308" s="159"/>
      <c r="K308" s="157"/>
      <c r="L308" s="160" t="s">
        <v>1111</v>
      </c>
      <c r="M308" s="159"/>
      <c r="N308" s="159"/>
      <c r="O308" s="159"/>
      <c r="P308" s="157"/>
      <c r="Q308" s="110"/>
      <c r="R308" s="66"/>
      <c r="S308" s="84"/>
      <c r="T308" s="158"/>
      <c r="U308" s="159"/>
      <c r="V308" s="159"/>
      <c r="W308" s="159"/>
      <c r="X308" s="159"/>
      <c r="Y308" s="157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</sheetData>
  <mergeCells>
    <mergeCell ref="E308:K308"/>
    <mergeCell ref="L308:P308"/>
    <mergeCell ref="T308:Y308"/>
    <mergeCell ref="A203:Y203"/>
    <mergeCell ref="O204:Y205"/>
    <mergeCell ref="O207:Y210"/>
    <mergeCell ref="O211:Y211"/>
    <mergeCell ref="E212:Y213"/>
    <mergeCell ref="E214:Y214"/>
    <mergeCell ref="E215:Y215"/>
    <mergeCell ref="E305:K305"/>
    <mergeCell ref="L305:P305"/>
    <mergeCell ref="T305:Y305"/>
    <mergeCell ref="E307:K307"/>
    <mergeCell ref="L307:P307"/>
    <mergeCell ref="T307:Y307"/>
    <mergeCell ref="E303:K303"/>
    <mergeCell ref="L303:P303"/>
    <mergeCell ref="T303:Y303"/>
    <mergeCell ref="E304:K304"/>
    <mergeCell ref="L304:P304"/>
    <mergeCell ref="T304:Y304"/>
    <mergeCell ref="E301:K301"/>
    <mergeCell ref="L301:P301"/>
    <mergeCell ref="T301:Y301"/>
    <mergeCell ref="E302:K302"/>
    <mergeCell ref="L302:P302"/>
    <mergeCell ref="T302:Y302"/>
    <mergeCell ref="E299:K299"/>
    <mergeCell ref="L299:P299"/>
    <mergeCell ref="T299:Y299"/>
    <mergeCell ref="E300:K300"/>
    <mergeCell ref="L300:P300"/>
    <mergeCell ref="T300:Y300"/>
    <mergeCell ref="E297:K297"/>
    <mergeCell ref="L297:P297"/>
    <mergeCell ref="T297:Y297"/>
    <mergeCell ref="E298:K298"/>
    <mergeCell ref="L298:P298"/>
    <mergeCell ref="T298:Y298"/>
    <mergeCell ref="E295:K295"/>
    <mergeCell ref="L295:P295"/>
    <mergeCell ref="T295:Y295"/>
    <mergeCell ref="E296:K296"/>
    <mergeCell ref="L296:P296"/>
    <mergeCell ref="T296:Y296"/>
    <mergeCell ref="T291:Y292"/>
    <mergeCell ref="A293:Y293"/>
    <mergeCell ref="E294:K294"/>
    <mergeCell ref="L294:P294"/>
    <mergeCell ref="T294:Y294"/>
    <mergeCell ref="A291:A292"/>
    <mergeCell ref="B291:D291"/>
    <mergeCell ref="E291:K292"/>
    <mergeCell ref="L291:P292"/>
    <mergeCell ref="Q291:S291"/>
    <mergeCell ref="E289:K289"/>
    <mergeCell ref="L289:P289"/>
    <mergeCell ref="T289:Y289"/>
    <mergeCell ref="E290:K290"/>
    <mergeCell ref="L290:P290"/>
    <mergeCell ref="T290:Y290"/>
    <mergeCell ref="E287:K287"/>
    <mergeCell ref="L287:P287"/>
    <mergeCell ref="T287:Y287"/>
    <mergeCell ref="E288:K288"/>
    <mergeCell ref="L288:P288"/>
    <mergeCell ref="T288:Y288"/>
    <mergeCell ref="E285:K285"/>
    <mergeCell ref="L285:P285"/>
    <mergeCell ref="T285:Y285"/>
    <mergeCell ref="E286:K286"/>
    <mergeCell ref="L286:P286"/>
    <mergeCell ref="T286:Y286"/>
    <mergeCell ref="E283:K283"/>
    <mergeCell ref="L283:P283"/>
    <mergeCell ref="T283:Y283"/>
    <mergeCell ref="E284:K284"/>
    <mergeCell ref="L284:P284"/>
    <mergeCell ref="T284:Y284"/>
    <mergeCell ref="E281:K281"/>
    <mergeCell ref="L281:P281"/>
    <mergeCell ref="T281:Y281"/>
    <mergeCell ref="E282:K282"/>
    <mergeCell ref="L282:P282"/>
    <mergeCell ref="T282:Y282"/>
    <mergeCell ref="E279:K279"/>
    <mergeCell ref="L279:P279"/>
    <mergeCell ref="T279:Y279"/>
    <mergeCell ref="E280:K280"/>
    <mergeCell ref="L280:P280"/>
    <mergeCell ref="T280:Y280"/>
    <mergeCell ref="E277:K277"/>
    <mergeCell ref="L277:P277"/>
    <mergeCell ref="T277:Y277"/>
    <mergeCell ref="E278:K278"/>
    <mergeCell ref="L278:P278"/>
    <mergeCell ref="T278:Y278"/>
    <mergeCell ref="E275:K275"/>
    <mergeCell ref="L275:P275"/>
    <mergeCell ref="T275:Y275"/>
    <mergeCell ref="E276:K276"/>
    <mergeCell ref="L276:P276"/>
    <mergeCell ref="T276:Y276"/>
    <mergeCell ref="E273:K273"/>
    <mergeCell ref="L273:P273"/>
    <mergeCell ref="T273:Y273"/>
    <mergeCell ref="E274:K274"/>
    <mergeCell ref="L274:P274"/>
    <mergeCell ref="T274:Y274"/>
    <mergeCell ref="Q269:S269"/>
    <mergeCell ref="T269:Y270"/>
    <mergeCell ref="A271:Y271"/>
    <mergeCell ref="E272:K272"/>
    <mergeCell ref="L272:P272"/>
    <mergeCell ref="T272:Y272"/>
    <mergeCell ref="E268:K268"/>
    <mergeCell ref="A269:A270"/>
    <mergeCell ref="B269:D269"/>
    <mergeCell ref="E269:K270"/>
    <mergeCell ref="L269:P270"/>
    <mergeCell ref="E262:K262"/>
    <mergeCell ref="L262:P262"/>
    <mergeCell ref="T262:Y262"/>
    <mergeCell ref="E263:K263"/>
    <mergeCell ref="L263:P263"/>
    <mergeCell ref="T263:Y267"/>
    <mergeCell ref="E264:K264"/>
    <mergeCell ref="L264:P264"/>
    <mergeCell ref="E265:K265"/>
    <mergeCell ref="L265:P265"/>
    <mergeCell ref="E266:K266"/>
    <mergeCell ref="L266:P266"/>
    <mergeCell ref="E267:K267"/>
    <mergeCell ref="L267:P267"/>
    <mergeCell ref="E260:K260"/>
    <mergeCell ref="L260:P260"/>
    <mergeCell ref="T260:Y260"/>
    <mergeCell ref="E261:K261"/>
    <mergeCell ref="L261:P261"/>
    <mergeCell ref="T261:Y261"/>
    <mergeCell ref="E258:K258"/>
    <mergeCell ref="L258:P258"/>
    <mergeCell ref="T258:Y258"/>
    <mergeCell ref="E259:K259"/>
    <mergeCell ref="L259:P259"/>
    <mergeCell ref="T259:Y259"/>
    <mergeCell ref="E256:K256"/>
    <mergeCell ref="L256:P256"/>
    <mergeCell ref="T256:Y256"/>
    <mergeCell ref="E257:K257"/>
    <mergeCell ref="L257:P257"/>
    <mergeCell ref="T257:Y257"/>
    <mergeCell ref="E254:K254"/>
    <mergeCell ref="L254:P254"/>
    <mergeCell ref="T254:Y254"/>
    <mergeCell ref="E255:K255"/>
    <mergeCell ref="L255:P255"/>
    <mergeCell ref="T255:Y255"/>
    <mergeCell ref="E252:K252"/>
    <mergeCell ref="L252:P252"/>
    <mergeCell ref="T252:Y252"/>
    <mergeCell ref="E253:K253"/>
    <mergeCell ref="L253:P253"/>
    <mergeCell ref="T253:Y253"/>
    <mergeCell ref="E250:K250"/>
    <mergeCell ref="L250:P250"/>
    <mergeCell ref="T250:Y250"/>
    <mergeCell ref="E251:K251"/>
    <mergeCell ref="L251:P251"/>
    <mergeCell ref="T251:Y251"/>
    <mergeCell ref="E248:K248"/>
    <mergeCell ref="L248:P248"/>
    <mergeCell ref="T248:Y248"/>
    <mergeCell ref="E249:K249"/>
    <mergeCell ref="L249:P249"/>
    <mergeCell ref="T249:Y249"/>
    <mergeCell ref="E246:K246"/>
    <mergeCell ref="L246:P246"/>
    <mergeCell ref="T246:Y246"/>
    <mergeCell ref="E247:K247"/>
    <mergeCell ref="L247:P247"/>
    <mergeCell ref="T247:Y247"/>
    <mergeCell ref="E244:K244"/>
    <mergeCell ref="L244:P244"/>
    <mergeCell ref="T244:Y244"/>
    <mergeCell ref="E245:K245"/>
    <mergeCell ref="L245:P245"/>
    <mergeCell ref="T245:Y245"/>
    <mergeCell ref="T240:Y241"/>
    <mergeCell ref="A242:Y242"/>
    <mergeCell ref="E243:K243"/>
    <mergeCell ref="L243:P243"/>
    <mergeCell ref="T243:Y243"/>
    <mergeCell ref="A240:A241"/>
    <mergeCell ref="B240:D240"/>
    <mergeCell ref="E240:K241"/>
    <mergeCell ref="L240:P241"/>
    <mergeCell ref="Q240:S240"/>
    <mergeCell ref="E236:K236"/>
    <mergeCell ref="L236:P236"/>
    <mergeCell ref="T236:Y236"/>
    <mergeCell ref="E237:K237"/>
    <mergeCell ref="L237:Y239"/>
    <mergeCell ref="E238:K238"/>
    <mergeCell ref="E239:K239"/>
    <mergeCell ref="E234:K234"/>
    <mergeCell ref="L234:P234"/>
    <mergeCell ref="T234:Y234"/>
    <mergeCell ref="E235:K235"/>
    <mergeCell ref="L235:P235"/>
    <mergeCell ref="T235:Y235"/>
    <mergeCell ref="E232:K232"/>
    <mergeCell ref="L232:P232"/>
    <mergeCell ref="T232:Y232"/>
    <mergeCell ref="E233:K233"/>
    <mergeCell ref="L233:P233"/>
    <mergeCell ref="T233:Y233"/>
    <mergeCell ref="E230:K230"/>
    <mergeCell ref="L230:P230"/>
    <mergeCell ref="T230:Y230"/>
    <mergeCell ref="E231:K231"/>
    <mergeCell ref="L231:P231"/>
    <mergeCell ref="T231:Y231"/>
    <mergeCell ref="E228:K228"/>
    <mergeCell ref="L228:P228"/>
    <mergeCell ref="T228:Y228"/>
    <mergeCell ref="E229:K229"/>
    <mergeCell ref="L229:P229"/>
    <mergeCell ref="T229:Y229"/>
    <mergeCell ref="E226:K226"/>
    <mergeCell ref="L226:P226"/>
    <mergeCell ref="T226:Y226"/>
    <mergeCell ref="E227:K227"/>
    <mergeCell ref="L227:P227"/>
    <mergeCell ref="T227:Y227"/>
    <mergeCell ref="E223:K223"/>
    <mergeCell ref="L223:P223"/>
    <mergeCell ref="T223:Y223"/>
    <mergeCell ref="A224:Y224"/>
    <mergeCell ref="E225:K225"/>
    <mergeCell ref="L225:P225"/>
    <mergeCell ref="T225:Y225"/>
    <mergeCell ref="E221:K221"/>
    <mergeCell ref="L221:P221"/>
    <mergeCell ref="T221:Y221"/>
    <mergeCell ref="E222:K222"/>
    <mergeCell ref="L222:P222"/>
    <mergeCell ref="T222:Y222"/>
    <mergeCell ref="T217:Y218"/>
    <mergeCell ref="A219:Y219"/>
    <mergeCell ref="E220:K220"/>
    <mergeCell ref="L220:P220"/>
    <mergeCell ref="T220:Y220"/>
    <mergeCell ref="A217:A218"/>
    <mergeCell ref="B217:D217"/>
    <mergeCell ref="E217:K218"/>
    <mergeCell ref="L217:P218"/>
    <mergeCell ref="Q217:S217"/>
    <mergeCell ref="C214:D214"/>
    <mergeCell ref="C215:D215"/>
    <mergeCell ref="A216:Y216"/>
    <mergeCell ref="C211:I211"/>
    <mergeCell ref="J211:M211"/>
    <mergeCell ref="A212:A213"/>
    <mergeCell ref="B212:B213"/>
    <mergeCell ref="C212:D213"/>
    <mergeCell ref="A206:I206"/>
    <mergeCell ref="J206:S206"/>
    <mergeCell ref="C207:I210"/>
    <mergeCell ref="J207:M207"/>
    <mergeCell ref="J208:M208"/>
    <mergeCell ref="J209:M209"/>
    <mergeCell ref="J210:M210"/>
    <mergeCell ref="A201:Y201"/>
    <mergeCell ref="J202:K202"/>
    <mergeCell ref="L202:Y202"/>
    <mergeCell ref="A204:A205"/>
    <mergeCell ref="B204:B205"/>
    <mergeCell ref="C204:I205"/>
    <mergeCell ref="J204:M205"/>
    <mergeCell ref="N204:N205"/>
    <mergeCell ref="A197:K197"/>
    <mergeCell ref="L197:O197"/>
    <mergeCell ref="S197:Y197"/>
    <mergeCell ref="A198:A200"/>
    <mergeCell ref="B198:I198"/>
    <mergeCell ref="J198:K200"/>
    <mergeCell ref="L198:Y200"/>
    <mergeCell ref="B199:C199"/>
    <mergeCell ref="D199:E199"/>
    <mergeCell ref="F199:G199"/>
    <mergeCell ref="H199:I199"/>
    <mergeCell ref="E195:K195"/>
    <mergeCell ref="L195:O195"/>
    <mergeCell ref="S195:Y195"/>
    <mergeCell ref="E196:K196"/>
    <mergeCell ref="L196:O196"/>
    <mergeCell ref="S196:Y196"/>
    <mergeCell ref="E193:K193"/>
    <mergeCell ref="L193:O193"/>
    <mergeCell ref="S193:Y193"/>
    <mergeCell ref="E194:K194"/>
    <mergeCell ref="L194:O194"/>
    <mergeCell ref="S194:Y194"/>
    <mergeCell ref="E191:K191"/>
    <mergeCell ref="L191:O191"/>
    <mergeCell ref="S191:Y191"/>
    <mergeCell ref="E192:K192"/>
    <mergeCell ref="L192:O192"/>
    <mergeCell ref="S192:Y192"/>
    <mergeCell ref="E189:K189"/>
    <mergeCell ref="L189:O189"/>
    <mergeCell ref="S189:Y189"/>
    <mergeCell ref="E190:K190"/>
    <mergeCell ref="L190:O190"/>
    <mergeCell ref="S190:Y190"/>
    <mergeCell ref="E187:K187"/>
    <mergeCell ref="L187:O187"/>
    <mergeCell ref="S187:Y187"/>
    <mergeCell ref="E188:K188"/>
    <mergeCell ref="L188:O188"/>
    <mergeCell ref="S188:Y188"/>
    <mergeCell ref="E185:K185"/>
    <mergeCell ref="L185:O185"/>
    <mergeCell ref="S185:Y185"/>
    <mergeCell ref="E186:K186"/>
    <mergeCell ref="L186:O186"/>
    <mergeCell ref="S186:Y186"/>
    <mergeCell ref="A183:K183"/>
    <mergeCell ref="L183:Y183"/>
    <mergeCell ref="E184:K184"/>
    <mergeCell ref="L184:O184"/>
    <mergeCell ref="S184:Y184"/>
    <mergeCell ref="E181:K181"/>
    <mergeCell ref="L181:O181"/>
    <mergeCell ref="S181:Y181"/>
    <mergeCell ref="A182:K182"/>
    <mergeCell ref="L182:O182"/>
    <mergeCell ref="S182:Y182"/>
    <mergeCell ref="E179:K179"/>
    <mergeCell ref="L179:O179"/>
    <mergeCell ref="S179:Y179"/>
    <mergeCell ref="E180:K180"/>
    <mergeCell ref="L180:O180"/>
    <mergeCell ref="S180:Y180"/>
    <mergeCell ref="P176:Q176"/>
    <mergeCell ref="R176:R177"/>
    <mergeCell ref="S176:Y177"/>
    <mergeCell ref="A178:K178"/>
    <mergeCell ref="L178:Y178"/>
    <mergeCell ref="A176:A177"/>
    <mergeCell ref="B176:C176"/>
    <mergeCell ref="D176:D177"/>
    <mergeCell ref="E176:K177"/>
    <mergeCell ref="L176:O177"/>
    <mergeCell ref="E174:K174"/>
    <mergeCell ref="L174:O174"/>
    <mergeCell ref="S174:Y174"/>
    <mergeCell ref="E175:K175"/>
    <mergeCell ref="L175:O175"/>
    <mergeCell ref="S175:Y175"/>
    <mergeCell ref="E172:K172"/>
    <mergeCell ref="L172:O172"/>
    <mergeCell ref="S172:Y172"/>
    <mergeCell ref="E173:K173"/>
    <mergeCell ref="L173:O173"/>
    <mergeCell ref="S173:Y173"/>
    <mergeCell ref="E170:K170"/>
    <mergeCell ref="L170:O170"/>
    <mergeCell ref="S170:Y170"/>
    <mergeCell ref="E171:K171"/>
    <mergeCell ref="L171:O171"/>
    <mergeCell ref="S171:Y171"/>
    <mergeCell ref="E168:K168"/>
    <mergeCell ref="L168:O168"/>
    <mergeCell ref="S168:Y168"/>
    <mergeCell ref="E169:K169"/>
    <mergeCell ref="L169:O169"/>
    <mergeCell ref="S169:Y169"/>
    <mergeCell ref="E166:K166"/>
    <mergeCell ref="L166:O166"/>
    <mergeCell ref="S166:Y166"/>
    <mergeCell ref="A167:K167"/>
    <mergeCell ref="L167:Y167"/>
    <mergeCell ref="E164:K164"/>
    <mergeCell ref="L164:O164"/>
    <mergeCell ref="S164:Y164"/>
    <mergeCell ref="E165:K165"/>
    <mergeCell ref="L165:O165"/>
    <mergeCell ref="S165:Y165"/>
    <mergeCell ref="E162:K162"/>
    <mergeCell ref="L162:O162"/>
    <mergeCell ref="S162:Y162"/>
    <mergeCell ref="E163:K163"/>
    <mergeCell ref="L163:O163"/>
    <mergeCell ref="S163:Y163"/>
    <mergeCell ref="A159:Y159"/>
    <mergeCell ref="E160:K160"/>
    <mergeCell ref="L160:O160"/>
    <mergeCell ref="S160:Y160"/>
    <mergeCell ref="E161:K161"/>
    <mergeCell ref="L161:O161"/>
    <mergeCell ref="S161:Y161"/>
    <mergeCell ref="A156:Y156"/>
    <mergeCell ref="A157:A158"/>
    <mergeCell ref="B157:C157"/>
    <mergeCell ref="D157:D158"/>
    <mergeCell ref="E157:K158"/>
    <mergeCell ref="L157:O158"/>
    <mergeCell ref="P157:Q157"/>
    <mergeCell ref="R157:R158"/>
    <mergeCell ref="S157:Y158"/>
    <mergeCell ref="F154:K154"/>
    <mergeCell ref="L154:O154"/>
    <mergeCell ref="T154:Y154"/>
    <mergeCell ref="F155:K155"/>
    <mergeCell ref="L155:O155"/>
    <mergeCell ref="T155:Y155"/>
    <mergeCell ref="P151:R151"/>
    <mergeCell ref="S151:S152"/>
    <mergeCell ref="T151:Y152"/>
    <mergeCell ref="F153:K153"/>
    <mergeCell ref="L153:O153"/>
    <mergeCell ref="T153:Y153"/>
    <mergeCell ref="A151:A152"/>
    <mergeCell ref="B151:D151"/>
    <mergeCell ref="E151:E152"/>
    <mergeCell ref="F151:K152"/>
    <mergeCell ref="L151:O152"/>
    <mergeCell ref="E149:K149"/>
    <mergeCell ref="L149:O149"/>
    <mergeCell ref="S149:Y149"/>
    <mergeCell ref="E150:K150"/>
    <mergeCell ref="L150:Y150"/>
    <mergeCell ref="E147:K147"/>
    <mergeCell ref="L147:O147"/>
    <mergeCell ref="S147:Y147"/>
    <mergeCell ref="E148:K148"/>
    <mergeCell ref="L148:O148"/>
    <mergeCell ref="S148:Y148"/>
    <mergeCell ref="E145:K145"/>
    <mergeCell ref="L145:O145"/>
    <mergeCell ref="S145:Y145"/>
    <mergeCell ref="E146:K146"/>
    <mergeCell ref="L146:O146"/>
    <mergeCell ref="S146:Y146"/>
    <mergeCell ref="E143:K143"/>
    <mergeCell ref="L143:O143"/>
    <mergeCell ref="S143:Y143"/>
    <mergeCell ref="E144:K144"/>
    <mergeCell ref="L144:O144"/>
    <mergeCell ref="S144:Y144"/>
    <mergeCell ref="E141:K141"/>
    <mergeCell ref="L141:O141"/>
    <mergeCell ref="S141:Y141"/>
    <mergeCell ref="E142:K142"/>
    <mergeCell ref="L142:O142"/>
    <mergeCell ref="S142:Y142"/>
    <mergeCell ref="E139:K139"/>
    <mergeCell ref="L139:O139"/>
    <mergeCell ref="S139:Y139"/>
    <mergeCell ref="E140:K140"/>
    <mergeCell ref="L140:O140"/>
    <mergeCell ref="S140:Y140"/>
    <mergeCell ref="E137:K137"/>
    <mergeCell ref="L137:O137"/>
    <mergeCell ref="S137:Y137"/>
    <mergeCell ref="E138:K138"/>
    <mergeCell ref="L138:O138"/>
    <mergeCell ref="S138:Y138"/>
    <mergeCell ref="A134:Y134"/>
    <mergeCell ref="E135:K135"/>
    <mergeCell ref="L135:O135"/>
    <mergeCell ref="S135:Y135"/>
    <mergeCell ref="E136:K136"/>
    <mergeCell ref="L136:O136"/>
    <mergeCell ref="S136:Y136"/>
    <mergeCell ref="E130:K130"/>
    <mergeCell ref="L130:Y130"/>
    <mergeCell ref="A131:Y131"/>
    <mergeCell ref="A132:A133"/>
    <mergeCell ref="B132:C132"/>
    <mergeCell ref="D132:D133"/>
    <mergeCell ref="E132:K133"/>
    <mergeCell ref="L132:O133"/>
    <mergeCell ref="P132:Q132"/>
    <mergeCell ref="R132:R133"/>
    <mergeCell ref="S132:Y133"/>
    <mergeCell ref="E128:K128"/>
    <mergeCell ref="L128:P128"/>
    <mergeCell ref="T128:Y128"/>
    <mergeCell ref="E129:K129"/>
    <mergeCell ref="L129:P129"/>
    <mergeCell ref="T129:Y129"/>
    <mergeCell ref="A125:Y125"/>
    <mergeCell ref="E126:K126"/>
    <mergeCell ref="L126:P126"/>
    <mergeCell ref="T126:Y126"/>
    <mergeCell ref="E127:K127"/>
    <mergeCell ref="L127:P127"/>
    <mergeCell ref="T127:Y127"/>
    <mergeCell ref="E122:K122"/>
    <mergeCell ref="L122:Y122"/>
    <mergeCell ref="A123:A124"/>
    <mergeCell ref="B123:D123"/>
    <mergeCell ref="E123:K124"/>
    <mergeCell ref="L123:P124"/>
    <mergeCell ref="Q123:S123"/>
    <mergeCell ref="T123:Y124"/>
    <mergeCell ref="E120:K120"/>
    <mergeCell ref="L120:P120"/>
    <mergeCell ref="T120:Y120"/>
    <mergeCell ref="E121:K121"/>
    <mergeCell ref="L121:P121"/>
    <mergeCell ref="T121:Y121"/>
    <mergeCell ref="E118:K118"/>
    <mergeCell ref="L118:P118"/>
    <mergeCell ref="T118:Y118"/>
    <mergeCell ref="E119:K119"/>
    <mergeCell ref="L119:P119"/>
    <mergeCell ref="T119:Y119"/>
    <mergeCell ref="T114:Y115"/>
    <mergeCell ref="E116:K116"/>
    <mergeCell ref="L116:P116"/>
    <mergeCell ref="T116:Y116"/>
    <mergeCell ref="E117:K117"/>
    <mergeCell ref="L117:P117"/>
    <mergeCell ref="T117:Y117"/>
    <mergeCell ref="A114:A115"/>
    <mergeCell ref="B114:D114"/>
    <mergeCell ref="E114:K115"/>
    <mergeCell ref="L114:P115"/>
    <mergeCell ref="Q114:S114"/>
    <mergeCell ref="E112:K112"/>
    <mergeCell ref="L112:P112"/>
    <mergeCell ref="T112:Y112"/>
    <mergeCell ref="E113:K113"/>
    <mergeCell ref="L113:P113"/>
    <mergeCell ref="T113:Y113"/>
    <mergeCell ref="A109:Y109"/>
    <mergeCell ref="E110:K110"/>
    <mergeCell ref="L110:P110"/>
    <mergeCell ref="T110:Y110"/>
    <mergeCell ref="E111:K111"/>
    <mergeCell ref="L111:P111"/>
    <mergeCell ref="T111:Y111"/>
    <mergeCell ref="E106:K106"/>
    <mergeCell ref="L106:P106"/>
    <mergeCell ref="T106:Y106"/>
    <mergeCell ref="A107:A108"/>
    <mergeCell ref="B107:D107"/>
    <mergeCell ref="E107:K108"/>
    <mergeCell ref="L107:P108"/>
    <mergeCell ref="Q107:S107"/>
    <mergeCell ref="T107:Y108"/>
    <mergeCell ref="A103:Y103"/>
    <mergeCell ref="E104:K104"/>
    <mergeCell ref="L104:P104"/>
    <mergeCell ref="T104:Y104"/>
    <mergeCell ref="E105:K105"/>
    <mergeCell ref="L105:P105"/>
    <mergeCell ref="T105:Y105"/>
    <mergeCell ref="E100:K100"/>
    <mergeCell ref="L100:P100"/>
    <mergeCell ref="T100:Y100"/>
    <mergeCell ref="A101:A102"/>
    <mergeCell ref="B101:D101"/>
    <mergeCell ref="E101:K102"/>
    <mergeCell ref="L101:P102"/>
    <mergeCell ref="Q101:S101"/>
    <mergeCell ref="T101:Y102"/>
    <mergeCell ref="E98:K98"/>
    <mergeCell ref="L98:P98"/>
    <mergeCell ref="T98:Y98"/>
    <mergeCell ref="E99:K99"/>
    <mergeCell ref="L99:P99"/>
    <mergeCell ref="T99:Y99"/>
    <mergeCell ref="E96:K96"/>
    <mergeCell ref="L96:P96"/>
    <mergeCell ref="T96:Y96"/>
    <mergeCell ref="E97:K97"/>
    <mergeCell ref="L97:P97"/>
    <mergeCell ref="T97:Y97"/>
    <mergeCell ref="A93:Y93"/>
    <mergeCell ref="E94:K94"/>
    <mergeCell ref="L94:P94"/>
    <mergeCell ref="T94:Y94"/>
    <mergeCell ref="E95:K95"/>
    <mergeCell ref="L95:P95"/>
    <mergeCell ref="T95:Y95"/>
    <mergeCell ref="E91:K91"/>
    <mergeCell ref="L91:P91"/>
    <mergeCell ref="T91:Y91"/>
    <mergeCell ref="E92:K92"/>
    <mergeCell ref="L92:P92"/>
    <mergeCell ref="T92:Y92"/>
    <mergeCell ref="E89:K89"/>
    <mergeCell ref="L89:P89"/>
    <mergeCell ref="T89:Y89"/>
    <mergeCell ref="E90:K90"/>
    <mergeCell ref="L90:P90"/>
    <mergeCell ref="T90:Y90"/>
    <mergeCell ref="E87:K87"/>
    <mergeCell ref="L87:P87"/>
    <mergeCell ref="T87:Y87"/>
    <mergeCell ref="E88:K88"/>
    <mergeCell ref="L88:P88"/>
    <mergeCell ref="T88:Y88"/>
    <mergeCell ref="T83:Y84"/>
    <mergeCell ref="A85:Y85"/>
    <mergeCell ref="E86:K86"/>
    <mergeCell ref="L86:P86"/>
    <mergeCell ref="T86:Y86"/>
    <mergeCell ref="A83:A84"/>
    <mergeCell ref="B83:D83"/>
    <mergeCell ref="E83:K84"/>
    <mergeCell ref="L83:P84"/>
    <mergeCell ref="Q83:S83"/>
    <mergeCell ref="E81:K81"/>
    <mergeCell ref="L81:P81"/>
    <mergeCell ref="T81:Y81"/>
    <mergeCell ref="E82:K82"/>
    <mergeCell ref="L82:Y82"/>
    <mergeCell ref="A78:Y78"/>
    <mergeCell ref="A79:Y79"/>
    <mergeCell ref="E80:K80"/>
    <mergeCell ref="L80:P80"/>
    <mergeCell ref="T80:Y80"/>
    <mergeCell ref="A75:Y75"/>
    <mergeCell ref="A76:A77"/>
    <mergeCell ref="B76:D76"/>
    <mergeCell ref="E76:K77"/>
    <mergeCell ref="L76:P77"/>
    <mergeCell ref="Q76:S76"/>
    <mergeCell ref="T76:Y77"/>
    <mergeCell ref="E69:F69"/>
    <mergeCell ref="G69:K69"/>
    <mergeCell ref="L69:Y74"/>
    <mergeCell ref="E70:F70"/>
    <mergeCell ref="G70:K70"/>
    <mergeCell ref="E71:F71"/>
    <mergeCell ref="G71:K71"/>
    <mergeCell ref="E72:F72"/>
    <mergeCell ref="G72:K72"/>
    <mergeCell ref="E73:F73"/>
    <mergeCell ref="G73:K73"/>
    <mergeCell ref="E74:F74"/>
    <mergeCell ref="G74:K74"/>
    <mergeCell ref="E68:F68"/>
    <mergeCell ref="G68:K68"/>
    <mergeCell ref="L68:P68"/>
    <mergeCell ref="T68:U68"/>
    <mergeCell ref="V68:Y68"/>
    <mergeCell ref="Q64:S64"/>
    <mergeCell ref="T64:U65"/>
    <mergeCell ref="V64:Y65"/>
    <mergeCell ref="A66:Y66"/>
    <mergeCell ref="E67:F67"/>
    <mergeCell ref="G67:K67"/>
    <mergeCell ref="L67:P67"/>
    <mergeCell ref="T67:U67"/>
    <mergeCell ref="V67:Y67"/>
    <mergeCell ref="A64:A65"/>
    <mergeCell ref="B64:D64"/>
    <mergeCell ref="E64:F65"/>
    <mergeCell ref="G64:K65"/>
    <mergeCell ref="L64:P65"/>
    <mergeCell ref="E63:F63"/>
    <mergeCell ref="G63:K63"/>
    <mergeCell ref="L63:P63"/>
    <mergeCell ref="T63:U63"/>
    <mergeCell ref="V63:Y63"/>
    <mergeCell ref="E62:F62"/>
    <mergeCell ref="G62:K62"/>
    <mergeCell ref="L62:P62"/>
    <mergeCell ref="T62:U62"/>
    <mergeCell ref="V62:Y62"/>
    <mergeCell ref="E61:F61"/>
    <mergeCell ref="G61:K61"/>
    <mergeCell ref="L61:P61"/>
    <mergeCell ref="T61:U61"/>
    <mergeCell ref="V61:Y61"/>
    <mergeCell ref="G59:K60"/>
    <mergeCell ref="L59:P59"/>
    <mergeCell ref="T59:U59"/>
    <mergeCell ref="V59:Y59"/>
    <mergeCell ref="L60:P60"/>
    <mergeCell ref="T60:U60"/>
    <mergeCell ref="V60:Y60"/>
    <mergeCell ref="A59:A60"/>
    <mergeCell ref="B59:B60"/>
    <mergeCell ref="C59:C60"/>
    <mergeCell ref="D59:D60"/>
    <mergeCell ref="E59:F60"/>
    <mergeCell ref="E58:F58"/>
    <mergeCell ref="G58:K58"/>
    <mergeCell ref="L58:P58"/>
    <mergeCell ref="T58:U58"/>
    <mergeCell ref="V58:Y58"/>
    <mergeCell ref="E57:F57"/>
    <mergeCell ref="G57:K57"/>
    <mergeCell ref="L57:P57"/>
    <mergeCell ref="T57:U57"/>
    <mergeCell ref="V57:Y57"/>
    <mergeCell ref="E56:F56"/>
    <mergeCell ref="G56:K56"/>
    <mergeCell ref="L56:P56"/>
    <mergeCell ref="T56:U56"/>
    <mergeCell ref="V56:Y56"/>
    <mergeCell ref="E55:F55"/>
    <mergeCell ref="G55:K55"/>
    <mergeCell ref="L55:P55"/>
    <mergeCell ref="T55:U55"/>
    <mergeCell ref="V55:Y55"/>
    <mergeCell ref="E51:F51"/>
    <mergeCell ref="G51:K51"/>
    <mergeCell ref="L51:Y51"/>
    <mergeCell ref="A53:Y53"/>
    <mergeCell ref="E54:F54"/>
    <mergeCell ref="G54:K54"/>
    <mergeCell ref="L54:P54"/>
    <mergeCell ref="T54:U54"/>
    <mergeCell ref="V54:Y54"/>
    <mergeCell ref="E49:F49"/>
    <mergeCell ref="G49:K49"/>
    <mergeCell ref="L49:P49"/>
    <mergeCell ref="T49:U49"/>
    <mergeCell ref="V49:Y49"/>
    <mergeCell ref="E48:F48"/>
    <mergeCell ref="G48:K48"/>
    <mergeCell ref="L48:P48"/>
    <mergeCell ref="T48:U48"/>
    <mergeCell ref="V48:Y48"/>
    <mergeCell ref="E47:F47"/>
    <mergeCell ref="G47:K47"/>
    <mergeCell ref="L47:P47"/>
    <mergeCell ref="T47:U47"/>
    <mergeCell ref="V47:Y47"/>
    <mergeCell ref="E46:F46"/>
    <mergeCell ref="G46:K46"/>
    <mergeCell ref="L46:P46"/>
    <mergeCell ref="T46:U46"/>
    <mergeCell ref="V46:Y46"/>
    <mergeCell ref="E45:F45"/>
    <mergeCell ref="G45:K45"/>
    <mergeCell ref="L45:P45"/>
    <mergeCell ref="T45:U45"/>
    <mergeCell ref="V45:Y45"/>
    <mergeCell ref="E44:F44"/>
    <mergeCell ref="G44:K44"/>
    <mergeCell ref="L44:P44"/>
    <mergeCell ref="T44:U44"/>
    <mergeCell ref="V44:Y44"/>
    <mergeCell ref="E43:F43"/>
    <mergeCell ref="G43:K43"/>
    <mergeCell ref="L43:P43"/>
    <mergeCell ref="T43:U43"/>
    <mergeCell ref="V43:Y43"/>
    <mergeCell ref="E42:F42"/>
    <mergeCell ref="G42:K42"/>
    <mergeCell ref="L42:P42"/>
    <mergeCell ref="T42:U42"/>
    <mergeCell ref="V42:Y42"/>
    <mergeCell ref="E41:F41"/>
    <mergeCell ref="G41:K41"/>
    <mergeCell ref="L41:P41"/>
    <mergeCell ref="T41:U41"/>
    <mergeCell ref="V41:Y41"/>
    <mergeCell ref="E40:F40"/>
    <mergeCell ref="G40:K40"/>
    <mergeCell ref="L40:P40"/>
    <mergeCell ref="T40:U40"/>
    <mergeCell ref="V40:Y40"/>
    <mergeCell ref="A38:Y38"/>
    <mergeCell ref="E39:F39"/>
    <mergeCell ref="G39:K39"/>
    <mergeCell ref="L39:P39"/>
    <mergeCell ref="T39:U39"/>
    <mergeCell ref="V39:Y39"/>
    <mergeCell ref="A35:Y35"/>
    <mergeCell ref="A36:A37"/>
    <mergeCell ref="B36:D36"/>
    <mergeCell ref="E36:F37"/>
    <mergeCell ref="G36:K37"/>
    <mergeCell ref="L36:P37"/>
    <mergeCell ref="Q36:S36"/>
    <mergeCell ref="T36:U37"/>
    <mergeCell ref="V36:Y37"/>
    <mergeCell ref="A12:A15"/>
    <mergeCell ref="B12:E13"/>
    <mergeCell ref="B14:D14"/>
    <mergeCell ref="E14:E15"/>
    <mergeCell ref="D1:F1"/>
    <mergeCell ref="D2:F2"/>
    <mergeCell ref="A1:A7"/>
    <mergeCell ref="A9:D10"/>
    <mergeCell ref="F12:M12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N12:Q13"/>
    <mergeCell ref="R12:U13"/>
    <mergeCell ref="V12:Y13"/>
    <mergeCell ref="J13:M13"/>
    <mergeCell ref="F13:I13"/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2025-11-09T23:17:56+08:00</dcterms:modified>
  <dc:title/>
  <dc:description/>
  <dc:subject/>
  <cp:keywords/>
  <cp:category/>
</cp:coreProperties>
</file>