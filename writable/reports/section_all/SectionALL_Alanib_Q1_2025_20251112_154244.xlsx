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2" minimized="false" showHorizontalScroll="true" showSheetTabs="true" showVerticalScroll="true" tabRatio="600" visibility="visible"/>
  </bookViews>
  <sheets>
    <sheet name="M2_Morbidity" sheetId="1" state="hidden" r:id="rId4"/>
    <sheet name="M2_Morbidity_v2 (31225)" sheetId="2" state="hidden" r:id="rId5"/>
    <sheet name="section_all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<sst xmlns="http://schemas.openxmlformats.org/spreadsheetml/2006/main" uniqueCount="1112">
  <si>
    <r>
      <rPr>
        <rFont val="Arial"/>
        <b val="true"/>
        <i val="false"/>
        <strike val="false"/>
        <color rgb="FF000000"/>
        <sz val="12"/>
        <u val="none"/>
      </rPr>
      <t xml:space="preserve">FHSIS Report for </t>
    </r>
    <r>
      <rPr>
        <rFont val="Arial"/>
        <b val="true"/>
        <i val="false"/>
        <strike val="false"/>
        <color rgb="FF000000"/>
        <sz val="12"/>
        <u val="single"/>
      </rPr>
      <t xml:space="preserve">MONTH</t>
    </r>
    <r>
      <rPr>
        <rFont val="Arial"/>
        <b val="true"/>
        <i val="false"/>
        <strike val="false"/>
        <color rgb="FF000000"/>
        <sz val="12"/>
        <u val="none"/>
      </rPr>
      <t xml:space="preserve"> , </t>
    </r>
    <r>
      <rPr>
        <rFont val="Arial"/>
        <b val="true"/>
        <i val="false"/>
        <strike val="false"/>
        <color rgb="FF000000"/>
        <sz val="12"/>
        <u val="single"/>
      </rPr>
      <t xml:space="preserve">YEAR</t>
    </r>
    <r>
      <rPr>
        <rFont val="Arial"/>
        <b val="true"/>
        <i val="false"/>
        <strike val="false"/>
        <color rgb="FF000000"/>
        <sz val="12"/>
        <u val="none"/>
      </rPr>
      <t xml:space="preserve"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</si>
  <si>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</si>
  <si>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</si>
  <si>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</si>
  <si>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</si>
  <si>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</si>
  <si>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</si>
  <si>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</si>
  <si>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</si>
  <si>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</si>
  <si>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</si>
  <si>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</si>
  <si>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</si>
  <si>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</si>
  <si>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</si>
  <si>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</si>
  <si>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</si>
  <si>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</si>
  <si>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</si>
  <si>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</si>
  <si>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</si>
  <si>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</si>
  <si>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</si>
  <si>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</si>
  <si>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</si>
  <si>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</si>
  <si>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</si>
  <si>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</si>
  <si>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</si>
  <si>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</si>
  <si>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</si>
  <si>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</si>
  <si>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</si>
  <si>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</si>
  <si>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</si>
  <si>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</si>
  <si>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</si>
  <si>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</si>
  <si>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</si>
  <si>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</si>
  <si>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</si>
  <si>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</si>
  <si>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</si>
  <si>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</si>
  <si>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</si>
  <si>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</si>
  <si>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</si>
  <si>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</si>
  <si>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</si>
  <si>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</si>
  <si>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</si>
  <si>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</si>
  <si>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</si>
  <si>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</si>
  <si>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</si>
  <si>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</si>
  <si>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</si>
  <si>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</si>
  <si>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</si>
  <si>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</si>
  <si>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</si>
  <si>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</si>
  <si>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</si>
  <si>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</si>
  <si>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</si>
  <si>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</si>
  <si>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</si>
  <si>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</si>
  <si>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</si>
  <si>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</si>
  <si>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</si>
  <si>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</si>
  <si>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</si>
  <si>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</si>
  <si>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</si>
  <si>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</si>
  <si>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</si>
  <si>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</si>
  <si>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</si>
  <si>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</si>
  <si>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</si>
  <si>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</si>
  <si>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</si>
  <si>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</si>
  <si>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</si>
  <si>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</si>
  <si>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</si>
  <si>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</si>
  <si>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</si>
  <si>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</si>
  <si>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</si>
  <si>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</si>
  <si>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</si>
  <si>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</si>
  <si>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</si>
  <si>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</si>
  <si>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</si>
  <si>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</si>
  <si>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</si>
  <si>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</si>
  <si>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</si>
  <si>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</si>
  <si>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</si>
  <si>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</si>
  <si>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</si>
  <si>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</si>
  <si>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</si>
  <si>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</si>
  <si>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</si>
  <si>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</si>
  <si>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</si>
  <si>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</si>
  <si>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</si>
  <si>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</si>
  <si>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</si>
  <si>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</si>
  <si>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</si>
  <si>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</si>
  <si>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</si>
  <si>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</si>
  <si>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</si>
  <si>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</si>
  <si>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B</t>
  </si>
  <si>
    <t>B16</t>
  </si>
  <si>
    <t>Other viral hepatitis</t>
  </si>
  <si>
    <t>B15, B17-B19</t>
  </si>
  <si>
    <t>Acute hepatitis A and other acute viral hepatitis</t>
  </si>
  <si>
    <t>B15, B17</t>
  </si>
  <si>
    <t>Other chronic and unspecified viral hepatitis</t>
  </si>
  <si>
    <t>B18-B19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</si>
  <si>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</si>
  <si>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</si>
  <si>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</si>
  <si>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</si>
  <si>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</si>
  <si>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</si>
  <si>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</si>
  <si>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</si>
  <si>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</si>
  <si>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</si>
  <si>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</si>
  <si>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</si>
  <si>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</si>
  <si>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</si>
  <si>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</si>
  <si>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</si>
  <si>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</si>
  <si>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</si>
  <si>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</si>
  <si>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</si>
  <si>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</si>
  <si>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</si>
  <si>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</si>
  <si>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</si>
  <si>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</si>
  <si>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</si>
  <si>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</si>
  <si>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</si>
  <si>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</si>
  <si>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</si>
  <si>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</si>
  <si>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</si>
  <si>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</si>
  <si>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</si>
  <si>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</si>
  <si>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</si>
  <si>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</si>
  <si>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</si>
  <si>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</si>
  <si>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</si>
  <si>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</si>
  <si>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</si>
  <si>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</si>
  <si>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</si>
  <si>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</si>
  <si>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</si>
  <si>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</si>
  <si>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</si>
  <si>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</si>
  <si>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</si>
  <si>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</si>
  <si>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</si>
  <si>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</si>
  <si>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</si>
  <si>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</si>
  <si>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</si>
  <si>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</si>
  <si>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</si>
  <si>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</si>
  <si>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</si>
  <si>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</si>
  <si>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</si>
  <si>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</si>
  <si>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</si>
  <si>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</si>
  <si>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</si>
  <si>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</si>
  <si>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</si>
  <si>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</si>
  <si>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</si>
  <si>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</si>
  <si>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</si>
  <si>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</si>
  <si>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</si>
  <si>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</si>
  <si>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</si>
  <si>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</si>
  <si>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</si>
  <si>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</si>
  <si>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</si>
  <si>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</si>
  <si>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</si>
  <si>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</si>
  <si>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</si>
  <si>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</si>
  <si>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</si>
  <si>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</si>
  <si>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</si>
  <si>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</si>
  <si>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</si>
  <si>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</si>
  <si>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</si>
  <si>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</si>
  <si>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</si>
  <si>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</si>
  <si>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</si>
  <si>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</si>
  <si>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</si>
  <si>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</si>
  <si>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</si>
  <si>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</si>
  <si>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</si>
  <si>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</si>
  <si>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</si>
  <si>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</si>
  <si>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</si>
  <si>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</si>
  <si>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</si>
  <si>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</si>
  <si>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</si>
  <si>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</si>
  <si>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</si>
  <si>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</si>
  <si>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</si>
  <si>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</si>
  <si>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</si>
  <si>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</si>
  <si>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</si>
  <si>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</si>
  <si>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</si>
  <si>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</si>
  <si>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</si>
  <si>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</si>
  <si>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</si>
  <si>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</si>
  <si>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</si>
  <si>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</si>
  <si>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</si>
  <si>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</si>
  <si>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</si>
  <si>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</si>
  <si>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</si>
  <si>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</si>
  <si>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</si>
  <si>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</si>
  <si>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</si>
  <si>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</si>
  <si>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</si>
  <si>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</si>
  <si>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</si>
  <si>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</si>
  <si>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</si>
  <si>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</si>
  <si>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</si>
  <si>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</si>
  <si>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</si>
  <si>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</si>
  <si>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</si>
  <si>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</si>
  <si>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</si>
  <si>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</si>
  <si>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</si>
  <si>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</si>
  <si>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</si>
  <si>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</si>
  <si>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</si>
  <si>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</si>
  <si>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</si>
  <si>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</si>
  <si>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</si>
  <si>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</si>
  <si>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</si>
  <si>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</si>
  <si>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</si>
  <si>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</si>
  <si>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</si>
  <si>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</si>
  <si>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</si>
  <si>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</si>
  <si>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</si>
  <si>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</si>
  <si>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</si>
  <si>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</si>
  <si>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</si>
  <si>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</si>
  <si>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</si>
  <si>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</si>
  <si>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</si>
  <si>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</si>
  <si>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</si>
  <si>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</si>
  <si>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</si>
  <si>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</si>
  <si>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</si>
  <si>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</si>
  <si>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</si>
  <si>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</si>
  <si>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</si>
  <si>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</si>
  <si>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</si>
  <si>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</si>
  <si>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</si>
  <si>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</si>
  <si>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</si>
  <si>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</si>
  <si>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</si>
  <si>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</si>
  <si>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</si>
  <si>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</si>
  <si>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</si>
  <si>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</si>
  <si>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</si>
  <si>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</si>
  <si>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</si>
  <si>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</si>
  <si>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</si>
  <si>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</si>
  <si>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</si>
  <si>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</si>
  <si>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</si>
  <si>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</si>
  <si>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</si>
  <si>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</si>
  <si>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</si>
  <si>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</si>
  <si>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</si>
  <si>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</si>
  <si>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</si>
  <si>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</si>
  <si>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</si>
  <si>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</si>
  <si>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</si>
  <si>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</si>
  <si>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</si>
  <si>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</si>
  <si>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</si>
  <si>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</si>
  <si>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</si>
  <si>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</si>
  <si>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</si>
  <si>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</si>
  <si>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</si>
  <si>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</si>
  <si>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</si>
  <si>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</si>
  <si>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</si>
  <si>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</si>
  <si>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</si>
  <si>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</si>
  <si>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</si>
  <si>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</si>
  <si>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</si>
  <si>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</si>
  <si>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</si>
  <si>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</si>
  <si>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</si>
  <si>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</si>
  <si>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</si>
  <si>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</si>
  <si>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</si>
  <si>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</si>
  <si>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</si>
  <si>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</si>
  <si>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</si>
  <si>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</si>
  <si>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</si>
  <si>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</si>
  <si>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</si>
  <si>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</si>
  <si>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</si>
  <si>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</si>
  <si>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</si>
  <si>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</si>
  <si>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</si>
  <si>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</si>
  <si>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</si>
  <si>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</si>
  <si>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</si>
  <si>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</si>
  <si>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</si>
  <si>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</si>
  <si>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</si>
  <si>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</si>
  <si>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</si>
  <si>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</si>
  <si>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</si>
  <si>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</si>
  <si>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</si>
  <si>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</si>
  <si>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</si>
  <si>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</si>
  <si>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</si>
  <si>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</si>
  <si>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</si>
  <si>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</si>
  <si>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</si>
  <si>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</si>
  <si>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</si>
  <si>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Bronchitis, emphysema and other chronic obstructive pulmonary diseases</t>
  </si>
  <si>
    <t>J40–J44</t>
  </si>
  <si>
    <t>Asthma</t>
  </si>
  <si>
    <t>J45–J46</t>
  </si>
  <si>
    <t>Bronchiectasis</t>
  </si>
  <si>
    <t>J47</t>
  </si>
  <si>
    <t>Pneumoconiosis</t>
  </si>
  <si>
    <t>J60–J65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</si>
  <si>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</si>
  <si>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</si>
  <si>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</si>
  <si>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</si>
  <si>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</si>
  <si>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</si>
  <si>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</si>
  <si>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</si>
  <si>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</si>
  <si>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</si>
  <si>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</si>
  <si>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</si>
  <si>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</si>
  <si>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</si>
  <si>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</si>
  <si>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</si>
  <si>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</si>
  <si>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</si>
  <si>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</si>
  <si>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</si>
  <si>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</si>
  <si>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</si>
  <si>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</si>
  <si>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</si>
  <si>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</si>
  <si>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</si>
  <si>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</si>
  <si>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</si>
  <si>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</si>
  <si>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</si>
  <si>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</si>
  <si>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</si>
  <si>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</si>
  <si>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</si>
  <si>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</si>
  <si>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</si>
  <si>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</si>
  <si>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</si>
  <si>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</si>
  <si>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</si>
  <si>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</si>
  <si>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</si>
  <si>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</si>
  <si>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</si>
  <si>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</si>
  <si>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</si>
  <si>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</si>
  <si>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</si>
  <si>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</si>
  <si>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</si>
  <si>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</si>
  <si>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</si>
  <si>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</si>
  <si>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</si>
  <si>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</si>
  <si>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</si>
  <si>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</si>
  <si>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</si>
  <si>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</si>
  <si>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</si>
  <si>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</si>
  <si>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</si>
  <si>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</si>
  <si>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</si>
  <si>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</si>
  <si>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</si>
  <si>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</si>
  <si>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</si>
  <si>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</si>
  <si>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</si>
  <si>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</si>
  <si>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</si>
  <si>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</si>
  <si>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</si>
  <si>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</si>
  <si>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</si>
  <si>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</si>
  <si>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</si>
  <si>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</si>
  <si>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</si>
  <si>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</si>
  <si>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</si>
  <si>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</si>
  <si>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</si>
  <si>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</si>
  <si>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</si>
  <si>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</si>
  <si>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</si>
  <si>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</si>
  <si>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</si>
  <si>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</si>
  <si>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</si>
  <si>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</si>
  <si>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</si>
  <si>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</si>
  <si>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</si>
  <si>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</si>
  <si>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</si>
  <si>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</si>
  <si>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</si>
  <si>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</si>
  <si>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</si>
  <si>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</si>
  <si>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</si>
  <si>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</si>
  <si>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</si>
  <si>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</si>
  <si>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</si>
  <si>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</si>
  <si>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</si>
  <si>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</si>
  <si>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</si>
  <si>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</si>
  <si>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</si>
  <si>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</si>
  <si>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</si>
  <si>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</si>
  <si>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</si>
  <si>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</si>
  <si>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</si>
  <si>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</si>
  <si>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</si>
  <si>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</si>
  <si>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</si>
  <si>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</si>
  <si>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</si>
  <si>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</si>
  <si>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</si>
  <si>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</si>
  <si>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</si>
  <si>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</si>
  <si>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</si>
  <si>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</si>
  <si>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</si>
  <si>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</si>
  <si>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</si>
  <si>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</si>
  <si>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</si>
  <si>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</si>
  <si>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</si>
  <si>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Single spontaneous delivery</t>
  </si>
  <si>
    <t>O80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</si>
  <si>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</si>
  <si>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</si>
  <si>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</si>
  <si>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</si>
  <si>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</si>
  <si>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</si>
  <si>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</si>
  <si>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</si>
  <si>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</si>
  <si>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</si>
  <si>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</si>
  <si>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</si>
  <si>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</si>
  <si>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</si>
  <si>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</si>
  <si>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</si>
  <si>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</si>
  <si>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</si>
  <si>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</si>
  <si>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</si>
  <si>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</si>
  <si>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</si>
  <si>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</si>
  <si>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</si>
  <si>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</si>
  <si>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</si>
  <si>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</si>
  <si>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</si>
  <si>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</si>
  <si>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</si>
  <si>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</si>
  <si>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</si>
  <si>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</si>
  <si>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</si>
  <si>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</si>
  <si>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</si>
  <si>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</si>
  <si>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</si>
  <si>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</si>
  <si>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</si>
  <si>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</si>
  <si>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</si>
  <si>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</si>
  <si>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</si>
  <si>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</si>
  <si>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</si>
  <si>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</si>
  <si>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</si>
  <si>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</si>
  <si>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</si>
  <si>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</si>
  <si>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</si>
  <si>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</si>
  <si>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</si>
  <si>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</si>
  <si>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</si>
  <si>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</si>
  <si>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</si>
  <si>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</si>
  <si>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</si>
  <si>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</si>
  <si>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</si>
  <si>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</si>
  <si>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</si>
  <si>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</si>
  <si>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</si>
  <si>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</si>
  <si>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</si>
  <si>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</si>
  <si>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</si>
  <si>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</si>
  <si>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</si>
  <si>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</si>
  <si>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</si>
  <si>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</si>
  <si>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</si>
  <si>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</si>
  <si>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</si>
  <si>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</si>
  <si>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</si>
  <si>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</si>
  <si>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</si>
  <si>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</si>
  <si>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</si>
  <si>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</si>
  <si>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</si>
  <si>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</si>
  <si>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</si>
  <si>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</si>
  <si>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</si>
  <si>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</si>
  <si>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</si>
  <si>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</si>
  <si>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</si>
  <si>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</si>
  <si>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</si>
  <si>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</si>
  <si>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</si>
  <si>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Factors influencing health status and contact with health services</t>
  </si>
  <si>
    <t>Z00-Z99</t>
  </si>
  <si>
    <t>Persons encountering health services for examination and investigation</t>
  </si>
  <si>
    <t>Z00–Z13</t>
  </si>
  <si>
    <t>Asymptomatic human immunodeficiency virus [HIV] infection status</t>
  </si>
  <si>
    <t>Z21</t>
  </si>
  <si>
    <t>Other persons with potential health hazards related to communicable disease</t>
  </si>
  <si>
    <t>Z20, Z22–Z29</t>
  </si>
  <si>
    <t>Contraceptive management</t>
  </si>
  <si>
    <t>Z30</t>
  </si>
  <si>
    <t>Antenatal screening and other supervision of pregnancy</t>
  </si>
  <si>
    <t>Z34–Z36</t>
  </si>
  <si>
    <t>Liveborn infants according to place of birth</t>
  </si>
  <si>
    <t>Z38</t>
  </si>
  <si>
    <t>Postpartum care and examination</t>
  </si>
  <si>
    <t>Z39</t>
  </si>
  <si>
    <t>Persons encountering health services for specific procedures and health care</t>
  </si>
  <si>
    <t>Z40–Z54</t>
  </si>
  <si>
    <t>Persons encountering health services for other reasons</t>
  </si>
  <si>
    <t>Z31–Z33, Z37, Z55–Z99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</si>
  <si>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</si>
  <si>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</si>
  <si>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</si>
  <si>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</si>
  <si>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</si>
  <si>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</si>
  <si>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</si>
  <si>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</si>
  <si>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</si>
  <si>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</si>
  <si>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</si>
  <si>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</si>
  <si>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</si>
  <si>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</si>
  <si>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</si>
  <si>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</si>
  <si>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</si>
  <si>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Leptospirosis</t>
  </si>
  <si>
    <t>A27</t>
  </si>
  <si>
    <t>Dengue</t>
  </si>
  <si>
    <t>A97</t>
  </si>
  <si>
    <t>Acute hepatitis A</t>
  </si>
  <si>
    <t>B15</t>
  </si>
  <si>
    <t>Other acute viral hepatitis</t>
  </si>
  <si>
    <t>B17</t>
  </si>
  <si>
    <t>B18</t>
  </si>
  <si>
    <t>Bronchitis</t>
  </si>
  <si>
    <t>J40-J42</t>
  </si>
  <si>
    <t>Emphysema</t>
  </si>
  <si>
    <t>J43</t>
  </si>
  <si>
    <t>Other chronic obstructive pulmonary diseases</t>
  </si>
  <si>
    <t>J44</t>
  </si>
  <si>
    <t>Unspecified acute lower respiratory infection</t>
  </si>
  <si>
    <t>J22</t>
  </si>
  <si>
    <t>Urinary tract infection, site not specified</t>
  </si>
  <si>
    <t>N39.0</t>
  </si>
  <si>
    <t>Open wound of unspecified body region with external cause; specifically animal bites, (e.g., bitten by rat, bitten or struck by dog, bitten or struck by other mammals)</t>
  </si>
  <si>
    <t>T14.1, W53; T14.1, W54; T14.1, W55</t>
  </si>
  <si>
    <t>RHU</t>
  </si>
  <si>
    <t>FHSIS REPORT for the</t>
  </si>
  <si>
    <t>1ST</t>
  </si>
  <si>
    <t>Quarter of the Year</t>
  </si>
  <si>
    <t>Name of Province: LANTAPAN</t>
  </si>
  <si>
    <t>Name of Province: BUKIDNON</t>
  </si>
  <si>
    <r>
      <t xml:space="preserve">Projected Population of the Year </t>
    </r>
    <r>
      <rPr>
        <rFont val="Arial"/>
        <b val="true"/>
        <i val="false"/>
        <strike val="false"/>
        <color rgb="FF000000"/>
        <sz val="9"/>
        <u val="single"/>
      </rPr>
      <t xml:space="preserve">70,762</t>
    </r>
  </si>
  <si>
    <t>ALANIB</t>
  </si>
  <si>
    <t>SECTION A. FAMILY PLANNING SERVICES FOR WOMEN OF REPRODUCTIVE AGE</t>
  </si>
  <si>
    <t>Demand Satisfied</t>
  </si>
  <si>
    <t>Age Group</t>
  </si>
  <si>
    <t>Total WRA 15-49 yrs old</t>
  </si>
  <si>
    <t>Remarks</t>
  </si>
  <si>
    <t>10-14 yrs old</t>
  </si>
  <si>
    <t>15-19 yrs old</t>
  </si>
  <si>
    <t>20-49 yrs old</t>
  </si>
  <si>
    <t>1. No. of women of reproductive age (WRA) 15-49 years old who have demand for Family Planning (FP) and currently using, or whose partner is currently using, any modern FP methods</t>
  </si>
  <si>
    <t>Modern FP Methods</t>
  </si>
  <si>
    <r>
      <t xml:space="preserve">Current Users
</t>
    </r>
    <r>
      <rPr>
        <rFont val="Arial"/>
        <b val="false"/>
        <i val="false"/>
        <strike val="false"/>
        <color rgb="FFFFFFFF"/>
        <sz val="9"/>
        <u val="none"/>
      </rPr>
      <t xml:space="preserve">(Beginning of the Month)</t>
    </r>
  </si>
  <si>
    <t>Acceptors</t>
  </si>
  <si>
    <r>
      <t xml:space="preserve">Drop-outs
</t>
    </r>
    <r>
      <rPr>
        <rFont val="Arial"/>
        <b val="false"/>
        <i val="false"/>
        <strike val="false"/>
        <color rgb="FFFFFFFF"/>
        <sz val="9"/>
        <u val="none"/>
      </rPr>
      <t xml:space="preserve">(Present Month)</t>
    </r>
  </si>
  <si>
    <r>
      <t xml:space="preserve">Current User
</t>
    </r>
    <r>
      <rPr>
        <rFont val="Arial"/>
        <b val="false"/>
        <i val="false"/>
        <strike val="false"/>
        <color rgb="FFFFFFFF"/>
        <sz val="9"/>
        <u val="none"/>
      </rPr>
      <t xml:space="preserve">(End of the Month)</t>
    </r>
  </si>
  <si>
    <r>
      <t xml:space="preserve">New Acceptors
</t>
    </r>
    <r>
      <rPr>
        <rFont val="Arial"/>
        <b val="false"/>
        <i val="false"/>
        <strike val="false"/>
        <color rgb="FFFFFFFF"/>
        <sz val="9"/>
        <u val="none"/>
      </rPr>
      <t xml:space="preserve">(Present Month)</t>
    </r>
  </si>
  <si>
    <t>New Acceptors (Previous Month)</t>
  </si>
  <si>
    <t>Other Acceptors (Present Month)</t>
  </si>
  <si>
    <t>TOTAL</t>
  </si>
  <si>
    <t>10-14</t>
  </si>
  <si>
    <t>15-19</t>
  </si>
  <si>
    <t>20-49</t>
  </si>
  <si>
    <t>1. BTL</t>
  </si>
  <si>
    <t>2. NSV</t>
  </si>
  <si>
    <t>3. Condom</t>
  </si>
  <si>
    <t>4. Pills</t>
  </si>
  <si>
    <t xml:space="preserve">     a. Pills-POP</t>
  </si>
  <si>
    <t xml:space="preserve">     b. Pills-COC</t>
  </si>
  <si>
    <t>5. Injectables (DMPA/POI)</t>
  </si>
  <si>
    <t>6. Implant</t>
  </si>
  <si>
    <t xml:space="preserve">     a. Implants-Interval</t>
  </si>
  <si>
    <t xml:space="preserve">     b. Implants-PP</t>
  </si>
  <si>
    <t>7. IUD</t>
  </si>
  <si>
    <t xml:space="preserve">     a. IUD-Interval</t>
  </si>
  <si>
    <t xml:space="preserve">     b. IUD-PP</t>
  </si>
  <si>
    <t>8. NFP-LAM</t>
  </si>
  <si>
    <t>9. NFP-BBT</t>
  </si>
  <si>
    <t>10. NFP-CMM</t>
  </si>
  <si>
    <t>11. NFP-STM</t>
  </si>
  <si>
    <t>12. NFP-SDM</t>
  </si>
  <si>
    <t>Total Current Users</t>
  </si>
  <si>
    <t>SECTION B. MATERNAL CARE AND SERVICES</t>
  </si>
  <si>
    <t>Indicators</t>
  </si>
  <si>
    <t>PRENATAL CARE SERVICES</t>
  </si>
  <si>
    <t>1a. Women who gave birth with at least 4 prenatal check-ups (for Q1 to Q3 2025 only)</t>
  </si>
  <si>
    <t>3b. Number of Pregnant Women for the 2nd or more times given at least 3 doses of Td vaccination (Td2 Plus)</t>
  </si>
  <si>
    <r>
      <t xml:space="preserve">1b. Total No. of Women who delivered and completed at least 8ANC </t>
    </r>
    <r>
      <rPr>
        <rFont val="Arial"/>
        <b val="true"/>
        <i val="false"/>
        <strike val="false"/>
        <color rgb="FF000000"/>
        <sz val="9"/>
        <u val="none"/>
      </rPr>
      <t xml:space="preserve">=(a+b)</t>
    </r>
  </si>
  <si>
    <t>4. Number of pregnant women who completed the dose of iron with folic acid supplementation</t>
  </si>
  <si>
    <t>a. No. of Women who delivered and Provided 1st to 8th ANC on schedule</t>
  </si>
  <si>
    <t>5. No. of pregnant women who completed the dose Multiple Micronutrient Supplementation</t>
  </si>
  <si>
    <t>b. No. of Women who delivered and completed at least 8ANC
TRANS IN from other LGUs</t>
  </si>
  <si>
    <t>6. No. of high-risk pregnant women who completed the dose of calcium carbonate</t>
  </si>
  <si>
    <r>
      <t xml:space="preserve">1c. Total No. of Women who delivered and were tracked during pregnancy</t>
    </r>
    <r>
      <rPr>
        <rFont val="Arial"/>
        <b val="true"/>
        <i val="false"/>
        <strike val="false"/>
        <color rgb="FF000000"/>
        <sz val="9"/>
        <u val="none"/>
      </rPr>
      <t xml:space="preserve"> =(a+b)-c</t>
    </r>
  </si>
  <si>
    <t>7. No. of pregnant women given one dose of deworming tablet</t>
  </si>
  <si>
    <t>a. No. of Women who delivered and who were tracked during pregnancy</t>
  </si>
  <si>
    <t>8a. No of pregnant women screened for Hepatitis B</t>
  </si>
  <si>
    <r>
      <t xml:space="preserve">b. No. of </t>
    </r>
    <r>
      <rPr>
        <rFont val="Arial"/>
        <b val="true"/>
        <i val="false"/>
        <strike val="false"/>
        <color rgb="FF000000"/>
        <sz val="9"/>
        <u val="none"/>
      </rPr>
      <t xml:space="preserve">TRANS IN </t>
    </r>
    <r>
      <rPr>
        <rFont val="Arial"/>
        <b val="false"/>
        <i val="false"/>
        <strike val="false"/>
        <color rgb="FF000000"/>
        <sz val="9"/>
        <u val="none"/>
      </rPr>
      <t xml:space="preserve">from other LGUs</t>
    </r>
  </si>
  <si>
    <t>8b. No of pregnant women screened reactive for Hepatitis B</t>
  </si>
  <si>
    <r>
      <t xml:space="preserve">c. No. of </t>
    </r>
    <r>
      <rPr>
        <rFont val="Arial"/>
        <b val="true"/>
        <i val="false"/>
        <strike val="false"/>
        <color rgb="FF000000"/>
        <sz val="9"/>
        <u val="none"/>
      </rPr>
      <t xml:space="preserve">TRANS OUT</t>
    </r>
    <r>
      <rPr>
        <rFont val="Arial"/>
        <b val="false"/>
        <i val="false"/>
        <strike val="false"/>
        <color rgb="FF000000"/>
        <sz val="9"/>
        <u val="none"/>
      </rPr>
      <t xml:space="preserve"> (with MOV) before completing 8ANC</t>
    </r>
  </si>
  <si>
    <t>8b. No of pregnant women screened for anemia</t>
  </si>
  <si>
    <t>2a. Number of pregnant women seen in the first trimester who have normal BMI</t>
  </si>
  <si>
    <t>9b. No of pregnant women diagnosed with Anemia</t>
  </si>
  <si>
    <t>2b. Number of pregnant women seen in the first trimester who have Low BMI</t>
  </si>
  <si>
    <t>10a. No of pregnant women screened for Gestational Diabetes Melitus</t>
  </si>
  <si>
    <t>2c. Number of pregnant women seen in the first trimester who have High BMI</t>
  </si>
  <si>
    <t>10b. No of pregnant women tested positive for Gestational Diabetes Melitus</t>
  </si>
  <si>
    <t>2d. Total Pregnant Registered in the month</t>
  </si>
  <si>
    <t>3a. Number of women pregnant for the first time given at least 2 doses of Tetanus diphtheria (Td) vaccination</t>
  </si>
  <si>
    <t>INTRAPARTUM AND NEWBORN CARE</t>
  </si>
  <si>
    <t>1. Total Deliveries</t>
  </si>
  <si>
    <t>4. No. of facility based deliveries (FBD)</t>
  </si>
  <si>
    <t>2. No. of Livebirths</t>
  </si>
  <si>
    <t>a. Public facility</t>
  </si>
  <si>
    <t>a. Normal birth weight</t>
  </si>
  <si>
    <t>b. Private facility</t>
  </si>
  <si>
    <t>b. Low birth weight</t>
  </si>
  <si>
    <t>5a. No. of  Vaginal deliveires</t>
  </si>
  <si>
    <t>c. Unknown birth weight</t>
  </si>
  <si>
    <t>5b.  No. of Cesarean section</t>
  </si>
  <si>
    <t>3. No. of deliveries attended by skilled health professionals</t>
  </si>
  <si>
    <t>5c.  No. of Combined Vaginal-Cesarean Delivery</t>
  </si>
  <si>
    <t>6a. No. of Full-Term deliveries</t>
  </si>
  <si>
    <t>a. Physicians</t>
  </si>
  <si>
    <t>6b. No. of Pre-Term Deliveries</t>
  </si>
  <si>
    <t>b. Nurses</t>
  </si>
  <si>
    <t>6c. No. of Fetal deaths</t>
  </si>
  <si>
    <t>c. Midwives</t>
  </si>
  <si>
    <t>6d. No. of  abortion/miscarriage</t>
  </si>
  <si>
    <t>POSTPARTUM CARE</t>
  </si>
  <si>
    <t>1a. Number and proportion of Postpartum women together with their newborn who completed at least 2PNC (for Q1 Jan to Feb 2025 only)</t>
  </si>
  <si>
    <t>2. Number of postpartum women who completed the dose of iron with folic acid supplementation</t>
  </si>
  <si>
    <r>
      <t xml:space="preserve">1b. Total No. of women who delivered and completed at least 4PNC </t>
    </r>
    <r>
      <rPr>
        <rFont val="Arial"/>
        <b val="true"/>
        <i val="false"/>
        <strike val="false"/>
        <color rgb="FF000000"/>
        <sz val="9"/>
        <u val="none"/>
      </rPr>
      <t xml:space="preserve">=(a+b)</t>
    </r>
  </si>
  <si>
    <t>3. Number of postpartum women who completed the dose ofVitamin A supplementation</t>
  </si>
  <si>
    <t>a. No. of women who delivered and Provided 1st to 4th PNC on schedule</t>
  </si>
  <si>
    <t>b. No. of women who delivered and completed at least 4PNC
TRANS IN from other LGUs</t>
  </si>
  <si>
    <r>
      <t xml:space="preserve">1c. Total No. of women who delivered and who were tracked during pregnancy</t>
    </r>
    <r>
      <rPr>
        <rFont val="Arial"/>
        <b val="true"/>
        <i val="false"/>
        <strike val="false"/>
        <color rgb="FF000000"/>
        <sz val="9"/>
        <u val="none"/>
      </rPr>
      <t xml:space="preserve"> =(a+b)-c</t>
    </r>
  </si>
  <si>
    <t>a. No. of women who delivered and who were tracked during pregnancy (New)</t>
  </si>
  <si>
    <r>
      <t xml:space="preserve">c. No. of </t>
    </r>
    <r>
      <rPr>
        <rFont val="Arial"/>
        <b val="true"/>
        <i val="false"/>
        <strike val="false"/>
        <color rgb="FF000000"/>
        <sz val="9"/>
        <u val="none"/>
      </rPr>
      <t xml:space="preserve">TRANS OUT</t>
    </r>
    <r>
      <rPr>
        <rFont val="Arial"/>
        <b val="false"/>
        <i val="false"/>
        <strike val="false"/>
        <color rgb="FF000000"/>
        <sz val="9"/>
        <u val="none"/>
      </rPr>
      <t xml:space="preserve"> (with MOV) before completing 4PNC</t>
    </r>
  </si>
  <si>
    <t>SECTION C. CHILD CARE AND SERVICES</t>
  </si>
  <si>
    <t>Sex</t>
  </si>
  <si>
    <t>Male</t>
  </si>
  <si>
    <t>Female</t>
  </si>
  <si>
    <t>Total</t>
  </si>
  <si>
    <t>IMMUNIZATION</t>
  </si>
  <si>
    <t>A.1. Immunization Services</t>
  </si>
  <si>
    <t xml:space="preserve">1. Children protected at birth (CPAB) </t>
  </si>
  <si>
    <t>4. Hep B antigen with in 24 hrs after birth</t>
  </si>
  <si>
    <t>2. BCG (with in 0-28 days)</t>
  </si>
  <si>
    <t>5. Hep B antigen more than 24 hrs up to 14 days</t>
  </si>
  <si>
    <t>3. BCG (29 days to 1 year old)</t>
  </si>
  <si>
    <t>A.2. Immunization Services (0-12 months old)</t>
  </si>
  <si>
    <t>1. DPT-HiB-HepB 1</t>
  </si>
  <si>
    <t>8. IPV 2</t>
  </si>
  <si>
    <t>2. DPT-HiB-HepB 2</t>
  </si>
  <si>
    <t>9. PCV 1</t>
  </si>
  <si>
    <t>3. DPT-HiB-HepB 3</t>
  </si>
  <si>
    <t>10. PCV 2</t>
  </si>
  <si>
    <t>4. OPV 1</t>
  </si>
  <si>
    <t>11. PCV 3</t>
  </si>
  <si>
    <t>5. OPV 2</t>
  </si>
  <si>
    <t>12. MMR 1</t>
  </si>
  <si>
    <t>6. OPV 3</t>
  </si>
  <si>
    <t>13. MMR 2</t>
  </si>
  <si>
    <t>7. IPV 1</t>
  </si>
  <si>
    <t>14. FIC</t>
  </si>
  <si>
    <t>A.3. Immunization Services (13-23 months old)</t>
  </si>
  <si>
    <t>14. CIC</t>
  </si>
  <si>
    <t>A.4. School-Based Immunization</t>
  </si>
  <si>
    <t>1. HPV 1st dose (9 years old Female only)</t>
  </si>
  <si>
    <t>4. Grade 1 learners given MR</t>
  </si>
  <si>
    <t>2. HPV 2nd dose (9 years old Female only)</t>
  </si>
  <si>
    <t>5. Grade 7 learners given Td</t>
  </si>
  <si>
    <t>3. Grade 1 learners given Td</t>
  </si>
  <si>
    <t>6. Grade 7 learners given MR</t>
  </si>
  <si>
    <t>NUTRITION</t>
  </si>
  <si>
    <t>1. Newborns who were initiated on breastfeeding within 1 hour after birth</t>
  </si>
  <si>
    <t>4a. Infants aged 6-11 months old who completed routine MNP supplementation</t>
  </si>
  <si>
    <t>2. Infants born with low birth weight (LBW) given complete Iron supplements</t>
  </si>
  <si>
    <t>4b. Children aged 12-23 months old who completed routine MNP supplementation</t>
  </si>
  <si>
    <t>3a. Infants aged 6-11 months old who received 1 dose of Vitamin A supplementation</t>
  </si>
  <si>
    <t>5a. Infants aged 6-11 months old who completed routine LNS-SQ supplementation</t>
  </si>
  <si>
    <t xml:space="preserve">3b. Children aged 12-59 months old who completed 2 doses of Vitamin A Supplementation
</t>
  </si>
  <si>
    <t>5b. Children aged 12-23 months old who completed routine LNS-SQ supplementation</t>
  </si>
  <si>
    <t>6. Children 0-59 months old SEEN during the reporting period at health facilities</t>
  </si>
  <si>
    <t>7d. Died</t>
  </si>
  <si>
    <r>
      <t xml:space="preserve">6a. Identified </t>
    </r>
    <r>
      <rPr>
        <rFont val="Arial"/>
        <b val="true"/>
        <i val="false"/>
        <strike val="false"/>
        <color rgb="FF000000"/>
        <sz val="9"/>
        <u val="none"/>
      </rPr>
      <t xml:space="preserve">MAM</t>
    </r>
  </si>
  <si>
    <r>
      <t xml:space="preserve">8. </t>
    </r>
    <r>
      <rPr>
        <rFont val="Arial"/>
        <b val="true"/>
        <i val="false"/>
        <strike val="false"/>
        <color rgb="FF000000"/>
        <sz val="9"/>
        <u val="none"/>
      </rPr>
      <t xml:space="preserve">SAM </t>
    </r>
    <r>
      <rPr>
        <rFont val="Arial"/>
        <b val="false"/>
        <i val="false"/>
        <strike val="false"/>
        <color rgb="FF000000"/>
        <sz val="9"/>
        <u val="none"/>
      </rPr>
      <t xml:space="preserve">without complication admitted to OTC</t>
    </r>
  </si>
  <si>
    <r>
      <t xml:space="preserve">6b. Identified </t>
    </r>
    <r>
      <rPr>
        <rFont val="Arial"/>
        <b val="true"/>
        <i val="false"/>
        <strike val="false"/>
        <color rgb="FF000000"/>
        <sz val="9"/>
        <u val="none"/>
      </rPr>
      <t xml:space="preserve">SAM</t>
    </r>
  </si>
  <si>
    <t>8a. Cured</t>
  </si>
  <si>
    <r>
      <t xml:space="preserve">7. </t>
    </r>
    <r>
      <rPr>
        <rFont val="Arial"/>
        <b val="true"/>
        <i val="false"/>
        <strike val="false"/>
        <color rgb="FF000000"/>
        <sz val="9"/>
        <u val="none"/>
      </rPr>
      <t xml:space="preserve">MAM</t>
    </r>
    <r>
      <rPr>
        <rFont val="Arial"/>
        <b val="false"/>
        <i val="false"/>
        <strike val="false"/>
        <color rgb="FF000000"/>
        <sz val="9"/>
        <u val="none"/>
      </rPr>
      <t xml:space="preserve"> enrolled to SFP</t>
    </r>
  </si>
  <si>
    <t>8b. Non-cured</t>
  </si>
  <si>
    <t>7a. Cured</t>
  </si>
  <si>
    <t>8c. Defaulted</t>
  </si>
  <si>
    <t>7b. Non-cured</t>
  </si>
  <si>
    <t>8d. Died</t>
  </si>
  <si>
    <t>7c. Defaulted</t>
  </si>
  <si>
    <t>MANAGEMENT OF SICK</t>
  </si>
  <si>
    <t>1. Sick infants aged 6-11 months old who received Vitamin A capsule aside from routine supplementation</t>
  </si>
  <si>
    <t>3a. 0-59 months old with acute diarrhea who received ORS only</t>
  </si>
  <si>
    <t>1a. Sick infants aged 6-11 months old seen</t>
  </si>
  <si>
    <t>3b. 0-59 months old with acute diarrhea who received ORS and Zinc drops/syrup</t>
  </si>
  <si>
    <t>2. Sick infants aged 12-59 months old who received Vitamin A capsule aside from routine supplementation</t>
  </si>
  <si>
    <t>4. Pneumonia cases 0-59 months old seen</t>
  </si>
  <si>
    <t>2a. Sick infants aged 12-59 months old seen</t>
  </si>
  <si>
    <t>4a. 0-59 months old with pneumonia who received antibiotic treatment</t>
  </si>
  <si>
    <t>3. Acute diarrhea cases 0-59 months old seen</t>
  </si>
  <si>
    <t>SECTION D. ORAL HEALTH CARE SERVICES</t>
  </si>
  <si>
    <t>FIRST VISIT TO AN ORAL HEALTH CARE PROFESSIONAL</t>
  </si>
  <si>
    <r>
      <t xml:space="preserve">1. Infants 0-11 months old who had their </t>
    </r>
    <r>
      <rPr>
        <rFont val="Arial"/>
        <b val="true"/>
        <i val="false"/>
        <strike val="false"/>
        <color rgb="FF000000"/>
        <sz val="9"/>
        <u val="none"/>
      </rPr>
      <t xml:space="preserve">first dental visit</t>
    </r>
  </si>
  <si>
    <t>1. Children 1-4 years old who completed 2 visits to an oral health care professional within a year</t>
  </si>
  <si>
    <t>1. Children 1-4 years old who had their 1st visit to an oral health care professional within a year</t>
  </si>
  <si>
    <r>
      <t xml:space="preserve">1a. Children 1-4 years old who completed 2 visits to a </t>
    </r>
    <r>
      <rPr>
        <rFont val="Arial"/>
        <b val="true"/>
        <i val="false"/>
        <strike val="false"/>
        <color rgb="FF000000"/>
        <sz val="9"/>
        <u val="none"/>
      </rPr>
      <t xml:space="preserve">facility-based </t>
    </r>
    <r>
      <rPr>
        <rFont val="Arial"/>
        <b val="false"/>
        <i val="false"/>
        <strike val="false"/>
        <color rgb="FF000000"/>
        <sz val="9"/>
        <u val="none"/>
      </rPr>
      <t xml:space="preserve">oral health care professional within a year</t>
    </r>
  </si>
  <si>
    <r>
      <t xml:space="preserve">1a. Children 1-4 years old who had their 1st visit to a </t>
    </r>
    <r>
      <rPr>
        <rFont val="Arial"/>
        <b val="true"/>
        <i val="false"/>
        <strike val="false"/>
        <color rgb="FF000000"/>
        <sz val="9"/>
        <u val="none"/>
      </rPr>
      <t xml:space="preserve">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</si>
  <si>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r>
      <t xml:space="preserve">1b. Children 1-4 years old who completed 2 visits to a </t>
    </r>
    <r>
      <rPr>
        <rFont val="Arial"/>
        <b val="true"/>
        <i val="false"/>
        <strike val="false"/>
        <color rgb="FF000000"/>
        <sz val="9"/>
        <u val="none"/>
      </rPr>
      <t xml:space="preserve">non-facility-based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</si>
  <si>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r>
      <t xml:space="preserve">1b. Children 1-4 years old who had their 1st visit to a </t>
    </r>
    <r>
      <rPr>
        <rFont val="Arial"/>
        <b val="true"/>
        <i val="false"/>
        <strike val="false"/>
        <color rgb="FF000000"/>
        <sz val="9"/>
        <u val="none"/>
      </rPr>
      <t xml:space="preserve">non-facility-based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</si>
  <si>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t>2. Children 5-9 years old who completed 2 visits to an oral health care professional within a year</t>
  </si>
  <si>
    <t>2. Children 5-9 years old who had their 1st visit to an oral health care professional within a year</t>
  </si>
  <si>
    <r>
      <t xml:space="preserve">2a. Children 5-9 years old who completed 2 visits to a </t>
    </r>
    <r>
      <rPr>
        <rFont val="Arial"/>
        <b val="true"/>
        <i val="false"/>
        <strike val="false"/>
        <color rgb="FF000000"/>
        <sz val="9"/>
        <u val="none"/>
      </rPr>
      <t xml:space="preserve">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</si>
  <si>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r>
      <t xml:space="preserve">2a. Children 5-9 years old who had their 1st visit to a </t>
    </r>
    <r>
      <rPr>
        <rFont val="Arial"/>
        <b val="true"/>
        <i val="false"/>
        <strike val="false"/>
        <color rgb="FF000000"/>
        <sz val="9"/>
        <u val="none"/>
      </rPr>
      <t xml:space="preserve">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</si>
  <si>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r>
      <t xml:space="preserve">2b. Children 5-9 years old who completed 2 visits to a </t>
    </r>
    <r>
      <rPr>
        <rFont val="Arial"/>
        <b val="true"/>
        <i val="false"/>
        <strike val="false"/>
        <color rgb="FF000000"/>
        <sz val="9"/>
        <u val="none"/>
      </rPr>
      <t xml:space="preserve">non-facility-based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</si>
  <si>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r>
      <t xml:space="preserve">2b. Children 5-9 years old who had their 1st visit to a </t>
    </r>
    <r>
      <rPr>
        <rFont val="Arial"/>
        <b val="true"/>
        <i val="false"/>
        <strike val="false"/>
        <color rgb="FF000000"/>
        <sz val="9"/>
        <u val="none"/>
      </rPr>
      <t xml:space="preserve">non-facility-based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</si>
  <si>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t>3. Adolescents 10-19 years old who completed 2 visits to an oral health care professional within a year</t>
  </si>
  <si>
    <t>3. Adolescents 10-19 years old who had their 1st visit to an oral health care professional within a year</t>
  </si>
  <si>
    <r>
      <t xml:space="preserve">3a. Adolescents 10-19 years old who completed 2 visits to a </t>
    </r>
    <r>
      <rPr>
        <rFont val="Arial"/>
        <b val="true"/>
        <i val="false"/>
        <strike val="false"/>
        <color rgb="FF000000"/>
        <sz val="9"/>
        <u val="none"/>
      </rPr>
      <t xml:space="preserve">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</si>
  <si>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r>
      <t xml:space="preserve">3a. Adolescents 10-19 years old who had their 1st visit to a </t>
    </r>
    <r>
      <rPr>
        <rFont val="Arial"/>
        <b val="true"/>
        <i val="false"/>
        <strike val="false"/>
        <color rgb="FF000000"/>
        <sz val="9"/>
        <u val="none"/>
      </rPr>
      <t xml:space="preserve">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</si>
  <si>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r>
      <t xml:space="preserve">3b. Adolescents 10-19 years old who completed 2 visits to a </t>
    </r>
    <r>
      <rPr>
        <rFont val="Arial"/>
        <b val="true"/>
        <i val="false"/>
        <strike val="false"/>
        <color rgb="FF000000"/>
        <sz val="9"/>
        <u val="none"/>
      </rPr>
      <t xml:space="preserve">non-facility-based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</si>
  <si>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r>
      <t xml:space="preserve">3b. Adolescents 10-19 years old who had their 1st visit to a </t>
    </r>
    <r>
      <rPr>
        <rFont val="Arial"/>
        <b val="true"/>
        <i val="false"/>
        <strike val="false"/>
        <color rgb="FF000000"/>
        <sz val="9"/>
        <u val="none"/>
      </rPr>
      <t xml:space="preserve">non-facility-based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</si>
  <si>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t>4. Adults 20-59 years old who completed 2 visits to an oral health care professional within a year</t>
  </si>
  <si>
    <t>4. Adults 20-59 years old who had their 1st visit to an oral health care professional within a year</t>
  </si>
  <si>
    <r>
      <t xml:space="preserve">4a. Adults 20-59 years old who completed 2 visits to a </t>
    </r>
    <r>
      <rPr>
        <rFont val="Arial"/>
        <b val="true"/>
        <i val="false"/>
        <strike val="false"/>
        <color rgb="FF000000"/>
        <sz val="9"/>
        <u val="none"/>
      </rPr>
      <t xml:space="preserve">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</si>
  <si>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r>
      <t xml:space="preserve">4a. Adults 20-59 years old who had their 1st visit to a </t>
    </r>
    <r>
      <rPr>
        <rFont val="Arial"/>
        <b val="true"/>
        <i val="false"/>
        <strike val="false"/>
        <color rgb="FF000000"/>
        <sz val="9"/>
        <u val="none"/>
      </rPr>
      <t xml:space="preserve">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</si>
  <si>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r>
      <t xml:space="preserve">4b. Adults 20-59 years old who completed 2 visits to a </t>
    </r>
    <r>
      <rPr>
        <rFont val="Arial"/>
        <b val="true"/>
        <i val="false"/>
        <strike val="false"/>
        <color rgb="FF000000"/>
        <sz val="9"/>
        <u val="none"/>
      </rPr>
      <t xml:space="preserve">non-facility-based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</si>
  <si>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r>
      <t xml:space="preserve">4b. Adults 20-59 years old who had their 1st visit to a </t>
    </r>
    <r>
      <rPr>
        <rFont val="Arial"/>
        <b val="true"/>
        <i val="false"/>
        <strike val="false"/>
        <color rgb="FF000000"/>
        <sz val="9"/>
        <u val="none"/>
      </rPr>
      <t xml:space="preserve">non-facility-based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</si>
  <si>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t>5. Senior Citizens 60 years old and above who completed 2 visits to an oral health care professional within a year</t>
  </si>
  <si>
    <t>5. Senior Citizens 60 years old and above who had their 1st visit to an oral health care professional within a year</t>
  </si>
  <si>
    <r>
      <t xml:space="preserve">5a. Senior Citizens 60 years old and above who completed 2 visits to a </t>
    </r>
    <r>
      <rPr>
        <rFont val="Arial"/>
        <b val="true"/>
        <i val="false"/>
        <strike val="false"/>
        <color rgb="FF000000"/>
        <sz val="9"/>
        <u val="none"/>
      </rPr>
      <t xml:space="preserve">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</si>
  <si>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r>
      <t xml:space="preserve">5a. Senior Citizens 60 years old and above who had their 1st visit to a </t>
    </r>
    <r>
      <rPr>
        <rFont val="Arial"/>
        <b val="true"/>
        <i val="false"/>
        <strike val="false"/>
        <color rgb="FF000000"/>
        <sz val="9"/>
        <u val="none"/>
      </rPr>
      <t xml:space="preserve">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</si>
  <si>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r>
      <t xml:space="preserve">5b. Senior Citizens 60 years old and above who completed 2 visits to a </t>
    </r>
    <r>
      <rPr>
        <rFont val="Arial"/>
        <b val="true"/>
        <i val="false"/>
        <strike val="false"/>
        <color rgb="FF000000"/>
        <sz val="9"/>
        <u val="none"/>
      </rPr>
      <t xml:space="preserve">non-facility-based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</si>
  <si>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r>
      <t xml:space="preserve">5b. Senior Citizens 60 years old and above who had their 1st visit to a </t>
    </r>
    <r>
      <rPr>
        <rFont val="Arial"/>
        <b val="true"/>
        <i val="false"/>
        <strike val="false"/>
        <color rgb="FF000000"/>
        <sz val="9"/>
        <u val="none"/>
      </rPr>
      <t xml:space="preserve">non-facility-based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</si>
  <si>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t>6. Pregnant Women who had their 1st visit to an oral health care professional within a year</t>
  </si>
  <si>
    <t>6. Pregnant Women who completed 2 visits to an oral health care professional within a year</t>
  </si>
  <si>
    <t>6a. Pregnant Women who had their 1st visit to a facility-based oral health care professional within a year</t>
  </si>
  <si>
    <r>
      <t xml:space="preserve">6a. Pregnant Women who completed 2 visits to a </t>
    </r>
    <r>
      <rPr>
        <rFont val="Arial"/>
        <b val="true"/>
        <i val="false"/>
        <strike val="false"/>
        <color rgb="FF000000"/>
        <sz val="9"/>
        <u val="none"/>
      </rPr>
      <t xml:space="preserve">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</si>
  <si>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t>6b. Pregnant Women who had their 1st visit to a non-facility-based oral health care professional within a year</t>
  </si>
  <si>
    <r>
      <t xml:space="preserve">6b. Pregnant Women who completed 2 visits to a </t>
    </r>
    <r>
      <rPr>
        <rFont val="Arial"/>
        <b val="true"/>
        <i val="false"/>
        <strike val="false"/>
        <color rgb="FF000000"/>
        <sz val="9"/>
        <u val="none"/>
      </rPr>
      <t xml:space="preserve">non-facility-based</t>
    </r>
    <r>
      <rPr>
        <rFont val="Arial"/>
        <b val="false"/>
        <i val="false"/>
        <strike val="false"/>
        <color rgb="FF000000"/>
        <sz val="9"/>
        <u val="none"/>
      </rPr>
      <t xml:space="preserve"> oral health care professional within a year</t>
    </r>
  </si>
  <si>
    <t>SECTION E. NON-COMMUNICABLE DISEASES</t>
  </si>
  <si>
    <t>E1. Lifestyle Related</t>
  </si>
  <si>
    <t>1. Adults 20-59 years old who were risk assessed using the PhilPEN protocol</t>
  </si>
  <si>
    <t>2. Senior Citizens 60 years old and above who were risk assessed using the PhilPEN protocol</t>
  </si>
  <si>
    <t>1a. With history of smoking</t>
  </si>
  <si>
    <t>2a. With history of smoking</t>
  </si>
  <si>
    <t>1b. Binge Drinker</t>
  </si>
  <si>
    <t>2b. Binge Drinker</t>
  </si>
  <si>
    <t>1c. Insufficient physical activities</t>
  </si>
  <si>
    <t>2c. Insufficient physical activities</t>
  </si>
  <si>
    <t>1d. Consumed unhealthy diet</t>
  </si>
  <si>
    <t>2d. Consumed unhealthy diet</t>
  </si>
  <si>
    <t>1e. Overweight</t>
  </si>
  <si>
    <t>2e. Overweight</t>
  </si>
  <si>
    <t>1f. Obese</t>
  </si>
  <si>
    <t>2f. Obese</t>
  </si>
  <si>
    <t>E2. Cardiovascular Disease Prevention and Control</t>
  </si>
  <si>
    <t>E3. Diabetes Mellitus Prevention and Control</t>
  </si>
  <si>
    <t>1. Adults 20-59 years old who were identified as hypertensive using the PhilPEN protocol</t>
  </si>
  <si>
    <t>1. Adults 20-59 years old who were identified with Type II Diabetes using the PhilPEN protocol</t>
  </si>
  <si>
    <t>2. Hypertensives 20-59 years old provided with antihypertensive medications</t>
  </si>
  <si>
    <t>2. Type II Diabetics 20-59 years old provided with antidiabetic medications</t>
  </si>
  <si>
    <t>2a. Provided by facility (100%)</t>
  </si>
  <si>
    <t>2b. Out of pocket</t>
  </si>
  <si>
    <t>3. Senior Citizens 60 years old and above who were identified as hypertensive using the PhilPEN protocol</t>
  </si>
  <si>
    <t>3. Senior Citizens 60 years old and above who were identified with Type II Diabetes using the PhilPEN protocol</t>
  </si>
  <si>
    <t>4. Hypertensives 60 years old and above provided with antihypertensive medications</t>
  </si>
  <si>
    <t>4. Type II Diabetics 60 years old and above provided with antidiabetic medications</t>
  </si>
  <si>
    <t>4a. Provided by facility (100%)</t>
  </si>
  <si>
    <t>4b. Out of pocket</t>
  </si>
  <si>
    <t>E4. Blindness Prevention Program</t>
  </si>
  <si>
    <t>E5. Immunization for Senior Citizens</t>
  </si>
  <si>
    <t>1. Senior citizens aged 60 years old and above screened for visual acuity</t>
  </si>
  <si>
    <t>1. Senior Citizens Seen who had not previously received PPV upon reaching 60 years old</t>
  </si>
  <si>
    <t>2. Senior citizens aged 60 years old and above screened for visual acuity and identified with eye disease/s</t>
  </si>
  <si>
    <t>2. Senior citizens aged 60 years old and above who received one (1) dose of Pneumococcal Polysaccharide Vaccine</t>
  </si>
  <si>
    <t>3. Senior citizens identified with eye disease/s and referred to eye care professionals</t>
  </si>
  <si>
    <t>3. Senior Citizens Seen</t>
  </si>
  <si>
    <t>4. Senior citizens aged 60 years old and above who received one (1) dose of Influenza Vaccine</t>
  </si>
  <si>
    <t>E6. Cervical Cancer Prevention and Control Services</t>
  </si>
  <si>
    <t>E7. Breast Cancer Prevention and Control Services</t>
  </si>
  <si>
    <t>1. Women aged 30-65 years old screened or assessed for cervical cancer</t>
  </si>
  <si>
    <t>1. High-risk asymptomatic or symptomatic women aged 30-69 years old provided with Breast Cancer Early Detection Services</t>
  </si>
  <si>
    <t>1a. VIA</t>
  </si>
  <si>
    <t>1a. Clinical Breast Examination</t>
  </si>
  <si>
    <t>2a. PapSmear</t>
  </si>
  <si>
    <t>1b. Mammogram</t>
  </si>
  <si>
    <t>3a. HPV DNA</t>
  </si>
  <si>
    <t>2. High-risk asymptomatic or symptomatic women aged 30-69 years old found with remarkable or significant results</t>
  </si>
  <si>
    <t>4a. Assessed Only</t>
  </si>
  <si>
    <t>2a. Clinical Breast Examination</t>
  </si>
  <si>
    <t>2. Women aged 30-65 years old found suspicious for cervical cancer</t>
  </si>
  <si>
    <t>2b. Mammogram</t>
  </si>
  <si>
    <t>3. Women aged 30-65 years old found suspicious for cervical cancer and linked to care</t>
  </si>
  <si>
    <t>3. High-risk asymptomatic or symptomatic women aged 30-69 years old found with remarkable results and linked to care</t>
  </si>
  <si>
    <t>3a. Treated</t>
  </si>
  <si>
    <t>4. Asymptomatic women aged 50-69 years old screened for breast cancer</t>
  </si>
  <si>
    <t>3b. Referred</t>
  </si>
  <si>
    <t>4a. Clinical Breast Examination</t>
  </si>
  <si>
    <t>4. Women aged 30-65 years old found positive for precancerous lesions</t>
  </si>
  <si>
    <t>4b. Mammogram</t>
  </si>
  <si>
    <t>5. Women aged 30-65 years old found positive for precancerous lesions and linked to care</t>
  </si>
  <si>
    <t>5. Asymptomatic women aged 50-69 years old screened for breast cancer and found with remarkable or significant results</t>
  </si>
  <si>
    <t>5a. Treated</t>
  </si>
  <si>
    <t>5a. Clinical Breast Examination</t>
  </si>
  <si>
    <t>5b. Referred</t>
  </si>
  <si>
    <t>5b. Mammogram</t>
  </si>
  <si>
    <t>6. Asymptomatic women aged 50-69 years old screened for breast cancer and found with remarkable or significant results and linked to care</t>
  </si>
  <si>
    <t>Age Groups (in years)</t>
  </si>
  <si>
    <t>0-9</t>
  </si>
  <si>
    <t>20-59</t>
  </si>
  <si>
    <t>60 and above</t>
  </si>
  <si>
    <t>E8. Mental Health</t>
  </si>
  <si>
    <t>1. Individuals with mental health concern screened using the Mental Health Gap Action Programme (mhGAP)</t>
  </si>
  <si>
    <t>SECTION F. ENVIRONMENTAL HEALTH AND SANITATION</t>
  </si>
  <si>
    <t>Water</t>
  </si>
  <si>
    <t>Sanitation</t>
  </si>
  <si>
    <t>1. Households (HHs) with access to improved water supply - Total</t>
  </si>
  <si>
    <t>1. HH with basic sanitation facility - Total</t>
  </si>
  <si>
    <t xml:space="preserve">1a. HH with Level I </t>
  </si>
  <si>
    <t>1a. HH with pour/flush toilet connected to a septic tank</t>
  </si>
  <si>
    <t>1b. HH with Level II</t>
  </si>
  <si>
    <t>1b. HHs with pour/flush toilet connected to community sewer/sewerage system or any other approved treatment system</t>
  </si>
  <si>
    <t>1c. HH with Level III</t>
  </si>
  <si>
    <t>1c. HH with Ventilated Improved Pit (VIP) Latrine</t>
  </si>
  <si>
    <t>2. HH using safely managed drinking water service</t>
  </si>
  <si>
    <t>2. HH using safely managed sanitation service</t>
  </si>
  <si>
    <t>Number of municipalities and chartered cities</t>
  </si>
  <si>
    <t>1. Municipalities, Cities, and Chartered Cities certified as ZOD (&gt;=95% BSF)</t>
  </si>
  <si>
    <t>2. Municipalities, Cities, and Chartered Cities certified as ZOD through the official certification</t>
  </si>
  <si>
    <t>SECTION G. INFECTIOUS DISEASE PREVENTION AND CONTROL SERVICES</t>
  </si>
  <si>
    <t>A. Filariasis</t>
  </si>
  <si>
    <t>1. No. of individuals EXAMINED for lymphatic filariasis</t>
  </si>
  <si>
    <t>5. No. of individuals who received 1 dose of TDT</t>
  </si>
  <si>
    <t>2. No. of individuals examined and found POSITIVE for lymphatic filariasis</t>
  </si>
  <si>
    <t xml:space="preserve">   a. 1-4 years old</t>
  </si>
  <si>
    <t>3. No. of individuals examined with lymphedema and/or elephantiasis</t>
  </si>
  <si>
    <t xml:space="preserve">   b. 5-14 years old</t>
  </si>
  <si>
    <t>4. No. of individuals examined with hydrocele</t>
  </si>
  <si>
    <t xml:space="preserve">   c. 15 years old &amp; above</t>
  </si>
  <si>
    <t>B. Rabies</t>
  </si>
  <si>
    <t>1. Category I</t>
  </si>
  <si>
    <t>6. No. of Category III rabies exposure who received COMPLETE DOSES of anti-rabies vaccines</t>
  </si>
  <si>
    <t xml:space="preserve">   a. ABTC/ABC</t>
  </si>
  <si>
    <t xml:space="preserve">   b. Non-ABTC/ABC</t>
  </si>
  <si>
    <t>2. Category II</t>
  </si>
  <si>
    <t>7. No. of Category III rabies exposure who RECEIVED SINGLE dose of rabies immunoglobulin</t>
  </si>
  <si>
    <t>3. Category III</t>
  </si>
  <si>
    <t>8. No. of rabies exposure from dogs</t>
  </si>
  <si>
    <t>4. No. of rabies exposure (ALL CATEGORIES)</t>
  </si>
  <si>
    <t>9. No. of rabies exposure from cats</t>
  </si>
  <si>
    <t>5. No. of Category II rabies exposure who received COMPLETE DOSES of anti-rabies vaccines</t>
  </si>
  <si>
    <t>C. Schistosomiasis</t>
  </si>
  <si>
    <t>1. No. of patients seen</t>
  </si>
  <si>
    <t>5. TOTAL No. of CONFIRMED cases TREATED</t>
  </si>
  <si>
    <t xml:space="preserve">   a. 5-14 years old</t>
  </si>
  <si>
    <t xml:space="preserve">   b. 15-19 years old</t>
  </si>
  <si>
    <t xml:space="preserve">   c. 20-59 years old</t>
  </si>
  <si>
    <t xml:space="preserve">   d. 60 years old &amp; above</t>
  </si>
  <si>
    <t>2. No. of SUSPECTED CASES seen</t>
  </si>
  <si>
    <t>6. No. of confirmed NON-COMPLICATED cases CURED</t>
  </si>
  <si>
    <t>3. No. of SUSPECTED cases TREATED</t>
  </si>
  <si>
    <t>7. Confirmed COMPLICATED Cases REFERRED to hospital facility</t>
  </si>
  <si>
    <t>4. No. of CONFIRMED cases</t>
  </si>
  <si>
    <t>8. Total No. of confirmed cases with ≥400 Schistosoma eggs per gram of stool</t>
  </si>
  <si>
    <t xml:space="preserve">   a. Complicated cases</t>
  </si>
  <si>
    <t xml:space="preserve">      a1. 5-14 years old</t>
  </si>
  <si>
    <t xml:space="preserve">      a2. 15-19 years old</t>
  </si>
  <si>
    <t xml:space="preserve">      a3. 20-59 years old</t>
  </si>
  <si>
    <t xml:space="preserve">      a4. 60 years old &amp; above</t>
  </si>
  <si>
    <t>9. No. of individuals dewormed with 1 dose of Praziquantel</t>
  </si>
  <si>
    <t xml:space="preserve">   b. Non-complicated cases</t>
  </si>
  <si>
    <t xml:space="preserve">      b1. 5-14 years old</t>
  </si>
  <si>
    <t xml:space="preserve">      b2. 15-19 years old</t>
  </si>
  <si>
    <t xml:space="preserve">      b3. 20-59 years old</t>
  </si>
  <si>
    <t xml:space="preserve">      b4. 60 years old &amp; above</t>
  </si>
  <si>
    <t>D. Soil-Transmitted Helminthiasis</t>
  </si>
  <si>
    <t>1. No. of individuals aged 1-4 years old SCREENED for STH</t>
  </si>
  <si>
    <t>3. No. of confirmed STH cases aged 1-4 years old TREATED</t>
  </si>
  <si>
    <t xml:space="preserve">   a. Resident</t>
  </si>
  <si>
    <t xml:space="preserve">      a1. 1-4 years old</t>
  </si>
  <si>
    <t xml:space="preserve">   c. 15-19 years old</t>
  </si>
  <si>
    <t xml:space="preserve">      a2. 5-14 years old</t>
  </si>
  <si>
    <t xml:space="preserve">   d. 20-59 years old</t>
  </si>
  <si>
    <t xml:space="preserve">      a3. 15-19 years old</t>
  </si>
  <si>
    <t xml:space="preserve">   e. 60 years old &amp; above</t>
  </si>
  <si>
    <t xml:space="preserve">      a4. 20-59 years old</t>
  </si>
  <si>
    <t>2. No. of individuals aged 1-4 years old CONFIRMED for STH</t>
  </si>
  <si>
    <t xml:space="preserve">      a5. 60 years old &amp; above</t>
  </si>
  <si>
    <t xml:space="preserve">   b. Non-resident</t>
  </si>
  <si>
    <t xml:space="preserve">      b1. 1-4 years old</t>
  </si>
  <si>
    <t xml:space="preserve">      b2. 5-14 years old</t>
  </si>
  <si>
    <t xml:space="preserve">      b3. 15-19 years old</t>
  </si>
  <si>
    <t xml:space="preserve">      b4. 20-59 years old</t>
  </si>
  <si>
    <t xml:space="preserve">      b5. 60 years old &amp; above</t>
  </si>
  <si>
    <t>4. Preschool-aged children 1-4 years old who swallowed deworming medicine for round 1 (January to June)</t>
  </si>
  <si>
    <t>5. Preschool-aged children 1-4 years old who swallowed deworming medicine for round 2
(July to December)</t>
  </si>
  <si>
    <t>6. School-aged children (5-14 years old) who were dewormed during the Round 1
(January to June) of the calendar year</t>
  </si>
  <si>
    <t>7. School-aged children (5-14 years old) who were dewormed during the Round 2
(July to December) of the calendar year</t>
  </si>
  <si>
    <t>8. Adolescents (15-19 years old) who were dewormed during the Round 1
(January to June) of the calendar year</t>
  </si>
  <si>
    <t>9. Adolescents (15-19 years old) who were dewormed during the Round 2
(July to December) of the calendar year</t>
  </si>
  <si>
    <t>E. Leprosy</t>
  </si>
  <si>
    <t>1. No. of leprosy old and new cases registered during reporting period</t>
  </si>
  <si>
    <t>4. No. of CONFIRMED leprosy who COMPLETED fixed duration MDT during reporting period</t>
  </si>
  <si>
    <t xml:space="preserve">    a. 0-4 years old</t>
  </si>
  <si>
    <t xml:space="preserve">    b. 5-14 years old</t>
  </si>
  <si>
    <t xml:space="preserve">    c. 15 years old &amp; above</t>
  </si>
  <si>
    <t>2. No. of NEWLY detected cases during reporting period</t>
  </si>
  <si>
    <t>5. No. of confirmed TREATED cases</t>
  </si>
  <si>
    <t>3. No. of confirmed leprosy cases during reporting period</t>
  </si>
  <si>
    <t>6. No. of new cases detected with Grade 2 disability</t>
  </si>
  <si>
    <t>F. HIV-AIDS/STI</t>
  </si>
  <si>
    <t>1. No. of pregnant women screened for syphilis</t>
  </si>
  <si>
    <t>3. No. of pregnant women screened for HIV</t>
  </si>
  <si>
    <t xml:space="preserve">2. No. of pregnant women tested positive for syphilis </t>
  </si>
  <si>
    <t>4. No. of pregnant women screened reactive for HIV</t>
  </si>
</sst>
</file>

<file path=xl/styles.xml><?xml version="1.0" encoding="utf-8"?>
<styleSheet xmlns="http://schemas.openxmlformats.org/spreadsheetml/2006/main">
  <numFmts count="1">
    <numFmt numFmtId="164" formatCode="m\-d"/>
  </numFmts>
  <fonts count="29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theme="1"/>
      <name val="Arial"/>
    </font>
    <font>
      <b val="0"/>
      <i val="0"/>
      <strike val="0"/>
      <u val="none"/>
      <sz val="10"/>
      <color theme="1"/>
      <name val="Arial"/>
      <scheme val="minor"/>
    </font>
    <font>
      <b val="0"/>
      <i val="0"/>
      <strike val="0"/>
      <u val="none"/>
      <sz val="9"/>
      <color theme="1"/>
      <name val="Arial"/>
    </font>
    <font>
      <b val="1"/>
      <i val="0"/>
      <strike val="0"/>
      <u val="none"/>
      <sz val="12"/>
      <color theme="1"/>
      <name val="Arial"/>
    </font>
    <font>
      <b val="0"/>
      <i val="0"/>
      <strike val="0"/>
      <u val="none"/>
      <sz val="12"/>
      <color theme="1"/>
      <name val="Arial"/>
    </font>
    <font>
      <b val="1"/>
      <i val="0"/>
      <strike val="0"/>
      <u val="single"/>
      <sz val="12"/>
      <color theme="1"/>
      <name val="Arial"/>
    </font>
    <font>
      <b val="1"/>
      <i val="0"/>
      <strike val="0"/>
      <u val="none"/>
      <sz val="65"/>
      <color theme="1"/>
      <name val="Arial"/>
    </font>
    <font>
      <b val="1"/>
      <i val="0"/>
      <strike val="0"/>
      <u val="none"/>
      <sz val="12"/>
      <color rgb="FFFFFFFF"/>
      <name val="Arial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2"/>
      <color theme="1"/>
      <name val="Arial"/>
      <scheme val="minor"/>
    </font>
    <font>
      <b val="1"/>
      <i val="0"/>
      <strike val="0"/>
      <u val="none"/>
      <sz val="12"/>
      <color theme="1"/>
      <name val="Arial"/>
      <scheme val="minor"/>
    </font>
    <font>
      <b val="1"/>
      <i val="0"/>
      <strike val="0"/>
      <u val="single"/>
      <sz val="12"/>
      <color theme="1"/>
      <name val="Arial"/>
      <scheme val="minor"/>
    </font>
    <font>
      <b val="1"/>
      <i val="0"/>
      <strike val="0"/>
      <u val="none"/>
      <sz val="65"/>
      <color theme="1"/>
      <name val="Arial"/>
      <scheme val="minor"/>
    </font>
    <font>
      <b val="1"/>
      <i val="0"/>
      <strike val="0"/>
      <u val="none"/>
      <sz val="12"/>
      <color rgb="FFFFFFFF"/>
      <name val="Arial"/>
      <scheme val="minor"/>
    </font>
    <font>
      <b val="1"/>
      <i val="0"/>
      <strike val="0"/>
      <u val="none"/>
      <sz val="11"/>
      <color theme="1"/>
      <name val="Arial"/>
      <scheme val="minor"/>
    </font>
    <font>
      <b val="0"/>
      <i val="0"/>
      <strike val="0"/>
      <u val="none"/>
      <sz val="11"/>
      <color theme="1"/>
      <name val="Arial"/>
      <scheme val="minor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theme="1"/>
      <name val="Arial"/>
    </font>
    <font>
      <b val="0"/>
      <i val="0"/>
      <strike val="0"/>
      <u val="none"/>
      <sz val="9"/>
      <color rgb="FF000000"/>
      <name val="Arial"/>
      <scheme val="minor"/>
    </font>
    <font>
      <b val="1"/>
      <i val="0"/>
      <strike val="0"/>
      <u val="none"/>
      <sz val="9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0"/>
      <i val="1"/>
      <strike val="0"/>
      <u val="none"/>
      <sz val="10"/>
      <color theme="1"/>
      <name val="Arial"/>
    </font>
    <font>
      <b val="0"/>
      <i val="0"/>
      <strike val="0"/>
      <u val="none"/>
      <sz val="10"/>
      <color rgb="FF000000"/>
      <name val="Arial"/>
    </font>
    <font>
      <b val="0"/>
      <i val="1"/>
      <strike val="0"/>
      <u val="none"/>
      <sz val="10"/>
      <color theme="1"/>
      <name val="Arial"/>
      <scheme val="minor"/>
    </font>
    <font>
      <b val="1"/>
      <i val="0"/>
      <strike val="0"/>
      <u val="none"/>
      <sz val="48"/>
      <color theme="1"/>
      <name val="Arial"/>
    </font>
    <font>
      <b val="0"/>
      <i val="0"/>
      <strike val="0"/>
      <u val="none"/>
      <sz val="48"/>
      <color rgb="FF000000"/>
      <name val="Arial"/>
      <scheme val="minor"/>
    </font>
    <font>
      <b val="0"/>
      <i val="0"/>
      <strike val="0"/>
      <u val="none"/>
      <sz val="11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3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000000"/>
      </top>
      <bottom/>
      <diagonal/>
    </border>
    <border>
      <left style="thin">
        <color rgb="FFFFFFFF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3" borderId="2" applyFont="1" applyNumberFormat="0" applyFill="1" applyBorder="1" applyAlignment="1">
      <alignment horizontal="left" vertical="center" textRotation="0" wrapText="true" shrinkToFit="false"/>
    </xf>
    <xf xfId="0" fontId="9" numFmtId="0" fillId="3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center" vertical="center" textRotation="0" wrapText="false" shrinkToFit="false"/>
    </xf>
    <xf xfId="0" fontId="5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9" numFmtId="0" fillId="3" borderId="3" applyFont="1" applyNumberFormat="0" applyFill="1" applyBorder="1" applyAlignment="1">
      <alignment horizontal="left" vertical="center" textRotation="0" wrapText="true" shrinkToFit="false"/>
    </xf>
    <xf xfId="0" fontId="4" numFmtId="0" fillId="3" borderId="2" applyFont="1" applyNumberFormat="0" applyFill="1" applyBorder="1" applyAlignment="1">
      <alignment vertical="center" textRotation="0" wrapText="true" shrinkToFit="false"/>
    </xf>
    <xf xfId="0" fontId="9" numFmtId="0" fillId="3" borderId="2" applyFont="1" applyNumberFormat="0" applyFill="1" applyBorder="1" applyAlignment="1">
      <alignment vertical="center" textRotation="0" wrapText="true" shrinkToFit="false"/>
    </xf>
    <xf xfId="0" fontId="5" numFmtId="0" fillId="4" borderId="2" applyFont="1" applyNumberFormat="0" applyFill="1" applyBorder="1" applyAlignment="1">
      <alignment vertical="center" textRotation="0" wrapText="true" shrinkToFit="false"/>
    </xf>
    <xf xfId="0" fontId="10" numFmtId="0" fillId="4" borderId="2" applyFont="1" applyNumberFormat="0" applyFill="1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10" numFmtId="0" fillId="0" borderId="0" applyFont="1" applyNumberFormat="0" applyFill="0" applyBorder="0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vertical="center" textRotation="0" wrapText="tru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13" numFmtId="0" fillId="0" borderId="0" applyFont="1" applyNumberFormat="0" applyFill="0" applyBorder="0" applyAlignment="1">
      <alignment horizontal="left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15" numFmtId="0" fillId="2" borderId="1" applyFont="1" applyNumberFormat="0" applyFill="1" applyBorder="1" applyAlignment="1">
      <alignment horizontal="center" vertical="center" textRotation="0" wrapText="true" shrinkToFit="false"/>
    </xf>
    <xf xfId="0" fontId="12" numFmtId="0" fillId="3" borderId="2" applyFont="1" applyNumberFormat="0" applyFill="1" applyBorder="1" applyAlignment="1">
      <alignment horizontal="left" vertical="center" textRotation="0" wrapText="true" shrinkToFit="false"/>
    </xf>
    <xf xfId="0" fontId="16" numFmtId="0" fillId="3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center" vertical="center" textRotation="0" wrapText="false" shrinkToFit="false"/>
    </xf>
    <xf xfId="0" fontId="11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0" borderId="2" applyFont="1" applyNumberFormat="0" applyFill="0" applyBorder="1" applyAlignment="1">
      <alignment horizontal="center" vertical="center" textRotation="0" wrapText="false" shrinkToFit="false"/>
    </xf>
    <xf xfId="0" fontId="16" numFmtId="0" fillId="3" borderId="3" applyFont="1" applyNumberFormat="0" applyFill="1" applyBorder="1" applyAlignment="1">
      <alignment horizontal="left" vertical="center" textRotation="0" wrapText="true" shrinkToFit="false"/>
    </xf>
    <xf xfId="0" fontId="12" numFmtId="0" fillId="3" borderId="2" applyFont="1" applyNumberFormat="0" applyFill="1" applyBorder="1" applyAlignment="1">
      <alignment vertical="center" textRotation="0" wrapText="true" shrinkToFit="false"/>
    </xf>
    <xf xfId="0" fontId="16" numFmtId="0" fillId="3" borderId="2" applyFont="1" applyNumberFormat="0" applyFill="1" applyBorder="1" applyAlignment="1">
      <alignment vertical="center" textRotation="0" wrapText="true" shrinkToFit="false"/>
    </xf>
    <xf xfId="0" fontId="11" numFmtId="0" fillId="4" borderId="2" applyFont="1" applyNumberFormat="0" applyFill="1" applyBorder="1" applyAlignment="1">
      <alignment vertical="center" textRotation="0" wrapText="true" shrinkToFit="false"/>
    </xf>
    <xf xfId="0" fontId="17" numFmtId="0" fillId="4" borderId="2" applyFont="1" applyNumberFormat="0" applyFill="1" applyBorder="1" applyAlignment="1">
      <alignment vertical="center" textRotation="0" wrapText="true" shrinkToFit="false"/>
    </xf>
    <xf xfId="0" fontId="11" numFmtId="0" fillId="0" borderId="0" applyFont="1" applyNumberFormat="0" applyFill="0" applyBorder="0" applyAlignment="1">
      <alignment horizontal="left" vertical="center" textRotation="0" wrapText="true" shrinkToFit="false"/>
    </xf>
    <xf xfId="0" fontId="17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18" numFmtId="0" fillId="2" borderId="4" applyFont="1" applyNumberFormat="0" applyFill="1" applyBorder="1" applyAlignment="1">
      <alignment horizontal="center" vertical="center" textRotation="0" wrapText="false" shrinkToFit="false"/>
    </xf>
    <xf xfId="0" fontId="18" quotePrefix="1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3" numFmtId="0" fillId="3" borderId="2" applyFont="1" applyNumberFormat="0" applyFill="1" applyBorder="1" applyAlignment="1">
      <alignment vertical="center" textRotation="0" wrapText="false" shrinkToFit="false"/>
    </xf>
    <xf xfId="0" fontId="19" numFmtId="0" fillId="3" borderId="2" applyFont="1" applyNumberFormat="0" applyFill="1" applyBorder="1" applyAlignment="1">
      <alignment vertical="center" textRotation="0" wrapText="true" shrinkToFit="false"/>
    </xf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20" numFmtId="0" fillId="0" borderId="0" applyFont="1" applyNumberFormat="0" applyFill="0" applyBorder="0" applyAlignment="0"/>
    <xf xfId="0" fontId="19" numFmtId="0" fillId="0" borderId="5" applyFont="1" applyNumberFormat="0" applyFill="0" applyBorder="1" applyAlignment="1">
      <alignment vertical="center" textRotation="0" wrapText="false" shrinkToFit="false"/>
    </xf>
    <xf xfId="0" fontId="21" numFmtId="0" fillId="0" borderId="6" applyFont="1" applyNumberFormat="0" applyFill="0" applyBorder="1" applyAlignment="0"/>
    <xf xfId="0" fontId="21" numFmtId="0" fillId="0" borderId="0" applyFont="1" applyNumberFormat="0" applyFill="0" applyBorder="0" applyAlignment="0"/>
    <xf xfId="0" fontId="18" quotePrefix="1" numFmtId="0" fillId="2" borderId="7" applyFont="1" applyNumberFormat="0" applyFill="1" applyBorder="1" applyAlignment="1">
      <alignment horizontal="center"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19" numFmtId="0" fillId="5" borderId="8" applyFont="1" applyNumberFormat="0" applyFill="1" applyBorder="1" applyAlignment="1">
      <alignment vertical="center" textRotation="0" wrapText="true" shrinkToFit="false"/>
    </xf>
    <xf xfId="0" fontId="3" numFmtId="0" fillId="0" borderId="3" applyFont="1" applyNumberFormat="0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3" numFmtId="0" fillId="0" borderId="3" applyFont="1" applyNumberFormat="0" applyFill="0" applyBorder="1" applyAlignment="1">
      <alignment vertical="center" textRotation="0" wrapText="false" shrinkToFit="false"/>
    </xf>
    <xf xfId="0" fontId="3" numFmtId="0" fillId="3" borderId="3" applyFont="1" applyNumberFormat="0" applyFill="1" applyBorder="1" applyAlignment="1">
      <alignment vertical="center" textRotation="0" wrapText="true" shrinkToFit="false"/>
    </xf>
    <xf xfId="0" fontId="19" numFmtId="0" fillId="3" borderId="2" applyFont="1" applyNumberFormat="0" applyFill="1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true" shrinkToFit="false"/>
    </xf>
    <xf xfId="0" fontId="3" numFmtId="0" fillId="0" borderId="9" applyFont="1" applyNumberFormat="0" applyFill="0" applyBorder="1" applyAlignment="1">
      <alignment vertical="center" textRotation="0" wrapText="false" shrinkToFit="false"/>
    </xf>
    <xf xfId="0" fontId="22" numFmtId="0" fillId="0" borderId="10" applyFont="1" applyNumberFormat="0" applyFill="0" applyBorder="1" applyAlignment="0"/>
    <xf xfId="0" fontId="22" numFmtId="0" fillId="0" borderId="11" applyFont="1" applyNumberFormat="0" applyFill="0" applyBorder="1" applyAlignment="0"/>
    <xf xfId="0" fontId="3" numFmtId="0" fillId="0" borderId="9" applyFont="1" applyNumberFormat="0" applyFill="0" applyBorder="1" applyAlignment="1">
      <alignment vertical="center" textRotation="0" wrapText="true" shrinkToFit="false"/>
    </xf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19" numFmtId="0" fillId="3" borderId="9" applyFont="1" applyNumberFormat="0" applyFill="1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true" shrinkToFit="false"/>
    </xf>
    <xf xfId="0" fontId="3" numFmtId="0" fillId="0" borderId="10" applyFont="1" applyNumberFormat="0" applyFill="0" applyBorder="1" applyAlignment="1">
      <alignment vertical="center" textRotation="0" wrapText="false" shrinkToFit="false"/>
    </xf>
    <xf xfId="0" fontId="19" numFmtId="0" fillId="3" borderId="10" applyFont="1" applyNumberFormat="0" applyFill="1" applyBorder="1" applyAlignment="1">
      <alignment horizontal="center" vertical="center" textRotation="0" wrapText="false" shrinkToFit="false"/>
    </xf>
    <xf xfId="0" fontId="3" numFmtId="0" fillId="2" borderId="13" applyFont="1" applyNumberFormat="0" applyFill="1" applyBorder="1" applyAlignment="1">
      <alignment vertical="center" textRotation="0" wrapText="false" shrinkToFit="false"/>
    </xf>
    <xf xfId="0" fontId="3" numFmtId="0" fillId="2" borderId="14" applyFont="1" applyNumberFormat="0" applyFill="1" applyBorder="1" applyAlignment="1">
      <alignment vertical="center" textRotation="0" wrapText="false" shrinkToFit="false"/>
    </xf>
    <xf xfId="0" fontId="3" numFmtId="0" fillId="2" borderId="15" applyFont="1" applyNumberFormat="0" applyFill="1" applyBorder="1" applyAlignment="1">
      <alignment vertical="center" textRotation="0" wrapText="false" shrinkToFit="false"/>
    </xf>
    <xf xfId="0" fontId="3" numFmtId="0" fillId="2" borderId="16" applyFont="1" applyNumberFormat="0" applyFill="1" applyBorder="1" applyAlignment="1">
      <alignment vertical="center" textRotation="0" wrapText="false" shrinkToFit="false"/>
    </xf>
    <xf xfId="0" fontId="3" numFmtId="0" fillId="3" borderId="2" applyFont="1" applyNumberFormat="0" applyFill="1" applyBorder="1" applyAlignment="1">
      <alignment vertical="center" textRotation="0" wrapText="false" shrinkToFit="false"/>
    </xf>
    <xf xfId="0" fontId="3" numFmtId="0" fillId="3" borderId="3" applyFont="1" applyNumberFormat="0" applyFill="1" applyBorder="1" applyAlignment="1">
      <alignment vertical="center" textRotation="0" wrapText="false" shrinkToFit="false"/>
    </xf>
    <xf xfId="0" fontId="19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3" borderId="2" applyFont="1" applyNumberFormat="0" applyFill="1" applyBorder="1" applyAlignment="1">
      <alignment vertical="center" textRotation="0" wrapText="true" shrinkToFit="false"/>
    </xf>
    <xf xfId="0" fontId="19" numFmtId="0" fillId="3" borderId="2" applyFont="1" applyNumberFormat="0" applyFill="1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3" numFmtId="0" fillId="0" borderId="8" applyFont="1" applyNumberFormat="0" applyFill="0" applyBorder="1" applyAlignment="1">
      <alignment vertical="center" textRotation="0" wrapText="true" shrinkToFit="false"/>
    </xf>
    <xf xfId="0" fontId="3" numFmtId="0" fillId="6" borderId="2" applyFont="1" applyNumberFormat="0" applyFill="1" applyBorder="1" applyAlignment="1">
      <alignment vertical="center" textRotation="0" wrapText="false" shrinkToFit="false"/>
    </xf>
    <xf xfId="0" fontId="3" numFmtId="0" fillId="0" borderId="8" applyFont="1" applyNumberFormat="0" applyFill="0" applyBorder="1" applyAlignment="1">
      <alignment vertical="center" textRotation="0" wrapText="false" shrinkToFit="false"/>
    </xf>
    <xf xfId="0" fontId="3" numFmtId="0" fillId="0" borderId="17" applyFont="1" applyNumberFormat="0" applyFill="0" applyBorder="1" applyAlignment="1">
      <alignment vertical="center" textRotation="0" wrapText="true" shrinkToFit="false"/>
    </xf>
    <xf xfId="0" fontId="3" numFmtId="0" fillId="0" borderId="18" applyFont="1" applyNumberFormat="0" applyFill="0" applyBorder="1" applyAlignment="1">
      <alignment vertical="center" textRotation="0" wrapText="true" shrinkToFit="false"/>
    </xf>
    <xf xfId="0" fontId="3" numFmtId="0" fillId="0" borderId="18" applyFont="1" applyNumberFormat="0" applyFill="0" applyBorder="1" applyAlignment="1">
      <alignment vertical="center" textRotation="0" wrapText="false" shrinkToFit="false"/>
    </xf>
    <xf xfId="0" fontId="19" numFmtId="0" fillId="3" borderId="18" applyFont="1" applyNumberFormat="0" applyFill="1" applyBorder="1" applyAlignment="1">
      <alignment horizontal="center" vertical="center" textRotation="0" wrapText="false" shrinkToFit="false"/>
    </xf>
    <xf xfId="0" fontId="19" numFmtId="0" fillId="3" borderId="12" applyFont="1" applyNumberFormat="0" applyFill="1" applyBorder="1" applyAlignment="1">
      <alignment horizontal="center" vertical="center" textRotation="0" wrapText="false" shrinkToFit="false"/>
    </xf>
    <xf xfId="0" fontId="18" numFmtId="164" fillId="2" borderId="7" applyFont="1" applyNumberFormat="1" applyFill="1" applyBorder="1" applyAlignment="1">
      <alignment horizontal="center" vertical="center" textRotation="0" wrapText="false" shrinkToFit="false"/>
    </xf>
    <xf xfId="0" fontId="19" numFmtId="0" fillId="3" borderId="2" applyFont="1" applyNumberFormat="0" applyFill="1" applyBorder="1" applyAlignment="1">
      <alignment horizontal="center" vertical="center" textRotation="0" wrapText="false" shrinkToFit="false"/>
    </xf>
    <xf xfId="0" fontId="3" numFmtId="0" fillId="5" borderId="0" applyFont="1" applyNumberFormat="0" applyFill="1" applyBorder="0" applyAlignment="1">
      <alignment vertical="center" textRotation="0" wrapText="false" shrinkToFit="false"/>
    </xf>
    <xf xfId="0" fontId="3" numFmtId="0" fillId="5" borderId="5" applyFont="1" applyNumberFormat="0" applyFill="1" applyBorder="1" applyAlignment="1">
      <alignment vertical="center" textRotation="0" wrapText="false" shrinkToFit="false"/>
    </xf>
    <xf xfId="0" fontId="19" numFmtId="0" fillId="3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19" applyFont="1" applyNumberFormat="0" applyFill="0" applyBorder="1" applyAlignment="1">
      <alignment vertical="center" textRotation="0" wrapText="true" shrinkToFit="false"/>
    </xf>
    <xf xfId="0" fontId="3" numFmtId="0" fillId="6" borderId="8" applyFont="1" applyNumberFormat="0" applyFill="1" applyBorder="1" applyAlignment="1">
      <alignment vertical="center" textRotation="0" wrapText="false" shrinkToFit="false"/>
    </xf>
    <xf xfId="0" fontId="3" numFmtId="0" fillId="6" borderId="5" applyFont="1" applyNumberFormat="0" applyFill="1" applyBorder="1" applyAlignment="1">
      <alignment vertical="center" textRotation="0" wrapText="false" shrinkToFit="false"/>
    </xf>
    <xf xfId="0" fontId="3" numFmtId="0" fillId="6" borderId="20" applyFont="1" applyNumberFormat="0" applyFill="1" applyBorder="1" applyAlignment="1">
      <alignment vertical="center" textRotation="0" wrapText="false" shrinkToFit="false"/>
    </xf>
    <xf xfId="0" fontId="3" numFmtId="0" fillId="6" borderId="12" applyFont="1" applyNumberFormat="0" applyFill="1" applyBorder="1" applyAlignment="1">
      <alignment vertical="center" textRotation="0" wrapText="false" shrinkToFit="false"/>
    </xf>
    <xf xfId="0" fontId="3" numFmtId="0" fillId="0" borderId="21" applyFont="1" applyNumberFormat="0" applyFill="0" applyBorder="1" applyAlignment="1">
      <alignment vertical="center" textRotation="0" wrapText="false" shrinkToFit="false"/>
    </xf>
    <xf xfId="0" fontId="3" numFmtId="0" fillId="6" borderId="18" applyFont="1" applyNumberFormat="0" applyFill="1" applyBorder="1" applyAlignment="1">
      <alignment vertical="center" textRotation="0" wrapText="false" shrinkToFit="false"/>
    </xf>
    <xf xfId="0" fontId="3" numFmtId="0" fillId="3" borderId="9" applyFont="1" applyNumberFormat="0" applyFill="1" applyBorder="1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/>
    <xf xfId="0" fontId="23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0" fillId="2" borderId="22" applyFont="1" applyNumberFormat="0" applyFill="1" applyBorder="1" applyAlignment="1">
      <alignment horizontal="center" vertical="center" textRotation="0" wrapText="true" shrinkToFit="false"/>
    </xf>
    <xf xfId="0" fontId="24" numFmtId="0" fillId="0" borderId="23" applyFont="1" applyNumberFormat="0" applyFill="0" applyBorder="1" applyAlignment="0"/>
    <xf xfId="0" fontId="24" numFmtId="0" fillId="0" borderId="24" applyFont="1" applyNumberFormat="0" applyFill="0" applyBorder="1" applyAlignment="0"/>
    <xf xfId="0" fontId="10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25" numFmtId="0" fillId="0" borderId="0" applyFont="1" applyNumberFormat="0" applyFill="0" applyBorder="0" applyAlignment="1">
      <alignment horizontal="center" vertical="center" textRotation="0" wrapText="true" shrinkToFit="false"/>
    </xf>
    <xf xfId="0" fontId="15" numFmtId="0" fillId="2" borderId="22" applyFont="1" applyNumberFormat="0" applyFill="1" applyBorder="1" applyAlignment="1">
      <alignment horizontal="center" vertical="center" textRotation="0" wrapText="true" shrinkToFit="false"/>
    </xf>
    <xf xfId="0" fontId="17" numFmtId="0" fillId="0" borderId="0" applyFont="1" applyNumberFormat="0" applyFill="0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8" numFmtId="0" fillId="2" borderId="25" applyFont="1" applyNumberFormat="0" applyFill="1" applyBorder="1" applyAlignment="1">
      <alignment horizontal="center" vertical="center" textRotation="0" wrapText="false" shrinkToFit="false"/>
    </xf>
    <xf xfId="0" fontId="22" numFmtId="0" fillId="0" borderId="26" applyFont="1" applyNumberFormat="0" applyFill="0" applyBorder="1" applyAlignment="0"/>
    <xf xfId="0" fontId="22" numFmtId="0" fillId="0" borderId="27" applyFont="1" applyNumberFormat="0" applyFill="0" applyBorder="1" applyAlignment="0"/>
    <xf xfId="0" fontId="22" numFmtId="0" fillId="0" borderId="14" applyFont="1" applyNumberFormat="0" applyFill="0" applyBorder="1" applyAlignment="0"/>
    <xf xfId="0" fontId="22" numFmtId="0" fillId="0" borderId="16" applyFont="1" applyNumberFormat="0" applyFill="0" applyBorder="1" applyAlignment="0"/>
    <xf xfId="0" fontId="22" numFmtId="0" fillId="0" borderId="15" applyFont="1" applyNumberFormat="0" applyFill="0" applyBorder="1" applyAlignment="0"/>
    <xf xfId="0" fontId="18" numFmtId="0" fillId="2" borderId="22" applyFont="1" applyNumberFormat="0" applyFill="1" applyBorder="1" applyAlignment="1">
      <alignment horizontal="center" vertical="center" textRotation="0" wrapText="false" shrinkToFit="false"/>
    </xf>
    <xf xfId="0" fontId="22" numFmtId="0" fillId="0" borderId="23" applyFont="1" applyNumberFormat="0" applyFill="0" applyBorder="1" applyAlignment="0"/>
    <xf xfId="0" fontId="22" numFmtId="0" fillId="0" borderId="24" applyFont="1" applyNumberFormat="0" applyFill="0" applyBorder="1" applyAlignment="0"/>
    <xf xfId="0" fontId="18" numFmtId="0" fillId="2" borderId="4" applyFont="1" applyNumberFormat="0" applyFill="1" applyBorder="1" applyAlignment="1">
      <alignment horizontal="center" vertical="center" textRotation="0" wrapText="false" shrinkToFit="false"/>
    </xf>
    <xf xfId="0" fontId="22" numFmtId="0" fillId="0" borderId="13" applyFont="1" applyNumberFormat="0" applyFill="0" applyBorder="1" applyAlignment="0"/>
    <xf xfId="0" fontId="26" numFmtId="0" fillId="0" borderId="0" applyFont="1" applyNumberFormat="0" applyFill="0" applyBorder="0" applyAlignment="1">
      <alignment horizontal="center" vertical="center" textRotation="0" wrapText="true" shrinkToFit="false"/>
    </xf>
    <xf xfId="0" fontId="27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20" numFmtId="0" fillId="0" borderId="0" applyFont="1" applyNumberFormat="0" applyFill="0" applyBorder="0" applyAlignment="0"/>
    <xf xfId="0" fontId="18" numFmtId="0" fillId="2" borderId="22" applyFont="1" applyNumberFormat="0" applyFill="1" applyBorder="1" applyAlignment="1">
      <alignment horizontal="center" vertical="center" textRotation="0" wrapText="true" shrinkToFit="false"/>
    </xf>
    <xf xfId="0" fontId="3" numFmtId="0" fillId="0" borderId="28" applyFont="1" applyNumberFormat="0" applyFill="0" applyBorder="1" applyAlignment="1">
      <alignment vertical="center" textRotation="0" wrapText="false" shrinkToFit="false"/>
    </xf>
    <xf xfId="0" fontId="22" numFmtId="0" fillId="0" borderId="29" applyFont="1" applyNumberFormat="0" applyFill="0" applyBorder="1" applyAlignment="0"/>
    <xf xfId="0" fontId="18" quotePrefix="1" numFmtId="0" fillId="2" borderId="22" applyFont="1" applyNumberFormat="0" applyFill="1" applyBorder="1" applyAlignment="1">
      <alignment horizontal="center" vertical="center" textRotation="0" wrapText="false" shrinkToFit="false"/>
    </xf>
    <xf xfId="0" fontId="19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28" applyFont="1" applyNumberFormat="0" applyFill="0" applyBorder="1" applyAlignment="1">
      <alignment vertical="center" textRotation="0" wrapText="true" shrinkToFit="false"/>
    </xf>
    <xf xfId="0" fontId="18" numFmtId="0" fillId="2" borderId="4" applyFont="1" applyNumberFormat="0" applyFill="1" applyBorder="1" applyAlignment="1">
      <alignment horizontal="center" vertical="center" textRotation="0" wrapText="true" shrinkToFit="false"/>
    </xf>
    <xf xfId="0" fontId="22" numFmtId="0" fillId="0" borderId="30" applyFont="1" applyNumberFormat="0" applyFill="0" applyBorder="1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18" numFmtId="0" fillId="2" borderId="25" applyFont="1" applyNumberFormat="0" applyFill="1" applyBorder="1" applyAlignment="1">
      <alignment horizontal="center" vertical="center" textRotation="0" wrapText="true" shrinkToFit="false"/>
    </xf>
    <xf xfId="0" fontId="19" numFmtId="0" fillId="5" borderId="8" applyFont="1" applyNumberFormat="0" applyFill="1" applyBorder="1" applyAlignment="1">
      <alignment vertical="center" textRotation="0" wrapText="true" shrinkToFit="false"/>
    </xf>
    <xf xfId="0" fontId="22" numFmtId="0" fillId="0" borderId="5" applyFont="1" applyNumberFormat="0" applyFill="0" applyBorder="1" applyAlignment="0"/>
    <xf xfId="0" fontId="22" numFmtId="0" fillId="0" borderId="20" applyFont="1" applyNumberFormat="0" applyFill="0" applyBorder="1" applyAlignment="0"/>
    <xf xfId="0" fontId="3" numFmtId="0" fillId="3" borderId="3" applyFont="1" applyNumberFormat="0" applyFill="1" applyBorder="1" applyAlignment="1">
      <alignment horizontal="center" vertical="center" textRotation="0" wrapText="false" shrinkToFit="false"/>
    </xf>
    <xf xfId="0" fontId="22" numFmtId="0" fillId="0" borderId="21" applyFont="1" applyNumberFormat="0" applyFill="0" applyBorder="1" applyAlignment="0"/>
    <xf xfId="0" fontId="3" numFmtId="0" fillId="0" borderId="3" applyFont="1" applyNumberFormat="0" applyFill="0" applyBorder="1" applyAlignment="1">
      <alignment vertical="center" textRotation="0" wrapText="false" shrinkToFit="false"/>
    </xf>
    <xf xfId="0" fontId="22" numFmtId="0" fillId="0" borderId="6" applyFont="1" applyNumberFormat="0" applyFill="0" applyBorder="1" applyAlignment="0"/>
    <xf xfId="0" fontId="3" numFmtId="0" fillId="0" borderId="3" applyFont="1" applyNumberFormat="0" applyFill="0" applyBorder="1" applyAlignment="1">
      <alignment vertical="center" textRotation="0" wrapText="true" shrinkToFit="false"/>
    </xf>
    <xf xfId="0" fontId="19" numFmtId="0" fillId="3" borderId="3" applyFont="1" applyNumberFormat="0" applyFill="1" applyBorder="1" applyAlignment="1">
      <alignment horizontal="center" vertical="center" textRotation="0" wrapText="false" shrinkToFit="false"/>
    </xf>
    <xf xfId="0" fontId="18" numFmtId="0" fillId="2" borderId="14" applyFont="1" applyNumberFormat="0" applyFill="1" applyBorder="1" applyAlignment="1">
      <alignment horizontal="center" vertical="center" textRotation="0" wrapText="true" shrinkToFit="false"/>
    </xf>
    <xf xfId="0" fontId="3" numFmtId="0" fillId="0" borderId="9" applyFont="1" applyNumberFormat="0" applyFill="0" applyBorder="1" applyAlignment="1">
      <alignment vertical="center" textRotation="0" wrapText="false" shrinkToFit="false"/>
    </xf>
    <xf xfId="0" fontId="22" numFmtId="0" fillId="0" borderId="10" applyFont="1" applyNumberFormat="0" applyFill="0" applyBorder="1" applyAlignment="0"/>
    <xf xfId="0" fontId="22" numFmtId="0" fillId="0" borderId="11" applyFont="1" applyNumberFormat="0" applyFill="0" applyBorder="1" applyAlignment="0"/>
    <xf xfId="0" fontId="3" numFmtId="0" fillId="0" borderId="9" applyFont="1" applyNumberFormat="0" applyFill="0" applyBorder="1" applyAlignment="1">
      <alignment vertical="center" textRotation="0" wrapText="true" shrinkToFit="false"/>
    </xf>
    <xf xfId="0" fontId="19" numFmtId="0" fillId="3" borderId="9" applyFont="1" applyNumberFormat="0" applyFill="1" applyBorder="1" applyAlignment="1">
      <alignment horizontal="center" vertical="center" textRotation="0" wrapText="false" shrinkToFit="false"/>
    </xf>
    <xf xfId="0" fontId="3" numFmtId="0" fillId="3" borderId="3" applyFont="1" applyNumberFormat="0" applyFill="1" applyBorder="1" applyAlignment="1">
      <alignment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true" shrinkToFit="false"/>
    </xf>
    <xf xfId="0" fontId="22" numFmtId="0" fillId="0" borderId="18" applyFont="1" applyNumberFormat="0" applyFill="0" applyBorder="1" applyAlignment="0"/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22" numFmtId="0" fillId="0" borderId="8" applyFont="1" applyNumberFormat="0" applyFill="0" applyBorder="1" applyAlignment="0"/>
    <xf xfId="0" fontId="3" numFmtId="0" fillId="5" borderId="9" applyFont="1" applyNumberFormat="0" applyFill="1" applyBorder="1" applyAlignment="1">
      <alignment vertical="center" textRotation="0" wrapText="false" shrinkToFit="false"/>
    </xf>
    <xf xfId="0" fontId="22" numFmtId="0" fillId="0" borderId="28" applyFont="1" applyNumberFormat="0" applyFill="0" applyBorder="1" applyAlignment="0"/>
    <xf xfId="0" fontId="22" numFmtId="0" fillId="0" borderId="8" applyFont="1" applyNumberFormat="0" applyFill="0" applyBorder="1" applyAlignment="0"/>
    <xf xfId="0" fontId="22" numFmtId="0" fillId="0" borderId="5" applyFont="1" applyNumberFormat="0" applyFill="0" applyBorder="1" applyAlignment="0"/>
    <xf xfId="0" fontId="22" numFmtId="0" fillId="0" borderId="20" applyFont="1" applyNumberFormat="0" applyFill="0" applyBorder="1" applyAlignment="0"/>
    <xf xfId="0" fontId="19" numFmtId="0" fillId="3" borderId="3" applyFont="1" applyNumberFormat="0" applyFill="1" applyBorder="1" applyAlignment="1">
      <alignment horizontal="center" vertical="center" textRotation="0" wrapText="false" shrinkToFit="false"/>
    </xf>
    <xf xfId="0" fontId="22" numFmtId="0" fillId="0" borderId="21" applyFont="1" applyNumberFormat="0" applyFill="0" applyBorder="1" applyAlignment="0"/>
    <xf xfId="0" fontId="3" numFmtId="0" fillId="0" borderId="3" applyFont="1" applyNumberFormat="0" applyFill="0" applyBorder="1" applyAlignment="1">
      <alignment vertical="center" textRotation="0" wrapText="false" shrinkToFit="false"/>
    </xf>
    <xf xfId="0" fontId="22" numFmtId="0" fillId="0" borderId="6" applyFont="1" applyNumberFormat="0" applyFill="0" applyBorder="1" applyAlignment="0"/>
    <xf xfId="0" fontId="3" numFmtId="0" fillId="6" borderId="0" applyFont="1" applyNumberFormat="0" applyFill="1" applyBorder="0" applyAlignment="1">
      <alignment vertical="center" textRotation="0" wrapText="false" shrinkToFit="false"/>
    </xf>
    <xf xfId="0" fontId="19" numFmtId="0" fillId="0" borderId="8" applyFont="1" applyNumberFormat="0" applyFill="0" applyBorder="1" applyAlignment="1">
      <alignment vertical="center" textRotation="0" wrapText="true" shrinkToFit="false"/>
    </xf>
    <xf xfId="0" fontId="3" numFmtId="0" fillId="0" borderId="8" applyFont="1" applyNumberFormat="0" applyFill="0" applyBorder="1" applyAlignment="1">
      <alignment vertical="center" textRotation="0" wrapText="true" shrinkToFit="false"/>
    </xf>
    <xf xfId="0" fontId="18" numFmtId="0" fillId="2" borderId="31" applyFont="1" applyNumberFormat="0" applyFill="1" applyBorder="1" applyAlignment="1">
      <alignment horizontal="center" vertical="center" textRotation="0" wrapText="false" shrinkToFit="false"/>
    </xf>
    <xf xfId="0" fontId="22" numFmtId="0" fillId="0" borderId="32" applyFont="1" applyNumberFormat="0" applyFill="0" applyBorder="1" applyAlignment="0"/>
    <xf xfId="0" fontId="18" numFmtId="0" fillId="2" borderId="31" applyFont="1" applyNumberFormat="0" applyFill="1" applyBorder="1" applyAlignment="1">
      <alignment horizontal="center" vertical="center" textRotation="0" wrapText="true" shrinkToFit="false"/>
    </xf>
    <xf xfId="0" fontId="18" numFmtId="0" fillId="2" borderId="30" applyFont="1" applyNumberFormat="0" applyFill="1" applyBorder="1" applyAlignment="1">
      <alignment horizontal="center" vertical="center" textRotation="0" wrapText="true" shrinkToFit="false"/>
    </xf>
    <xf xfId="0" fontId="18" numFmtId="0" fillId="2" borderId="14" applyFont="1" applyNumberFormat="0" applyFill="1" applyBorder="1" applyAlignment="1">
      <alignment horizontal="center" vertical="center" textRotation="0" wrapText="false" shrinkToFit="false"/>
    </xf>
    <xf xfId="0" fontId="9" numFmtId="0" fillId="7" borderId="8" applyFont="1" applyNumberFormat="0" applyFill="1" applyBorder="1" applyAlignment="1">
      <alignment vertical="center" textRotation="0" wrapText="true" shrinkToFit="false"/>
    </xf>
    <xf xfId="0" fontId="28" numFmtId="0" fillId="0" borderId="5" applyFont="1" applyNumberFormat="0" applyFill="0" applyBorder="1" applyAlignment="0"/>
    <xf xfId="0" fontId="28" numFmtId="0" fillId="0" borderId="20" applyFont="1" applyNumberFormat="0" applyFill="0" applyBorder="1" applyAlignment="0"/>
    <xf xfId="0" fontId="3" numFmtId="0" fillId="0" borderId="8" applyFont="1" applyNumberFormat="0" applyFill="0" applyBorder="1" applyAlignment="1">
      <alignment vertical="center" textRotation="0" wrapText="false" shrinkToFit="false"/>
    </xf>
    <xf xfId="0" fontId="3" numFmtId="0" fillId="6" borderId="3" applyFont="1" applyNumberFormat="0" applyFill="1" applyBorder="1" applyAlignment="1">
      <alignment vertical="center" textRotation="0" wrapText="false" shrinkToFit="false"/>
    </xf>
    <xf xfId="0" fontId="3" numFmtId="0" fillId="0" borderId="3" applyFont="1" applyNumberFormat="0" applyFill="0" applyBorder="1" applyAlignment="1">
      <alignment vertical="center" textRotation="0" wrapText="true" shrinkToFit="false"/>
    </xf>
    <xf xfId="0" fontId="19" numFmtId="0" fillId="5" borderId="0" applyFont="1" applyNumberFormat="0" applyFill="1" applyBorder="0" applyAlignment="1">
      <alignment vertical="center" textRotation="0" wrapText="true" shrinkToFit="false"/>
    </xf>
    <xf xfId="0" fontId="19" numFmtId="0" fillId="5" borderId="3" applyFont="1" applyNumberFormat="0" applyFill="1" applyBorder="1" applyAlignment="1">
      <alignment vertical="center" textRotation="0" wrapText="true" shrinkToFit="false"/>
    </xf>
    <xf xfId="0" fontId="3" numFmtId="0" fillId="5" borderId="0" applyFont="1" applyNumberFormat="0" applyFill="1" applyBorder="0" applyAlignment="1">
      <alignment vertical="center" textRotation="0" wrapText="false" shrinkToFit="false"/>
    </xf>
    <xf xfId="0" fontId="3" numFmtId="0" fillId="5" borderId="8" applyFont="1" applyNumberFormat="0" applyFill="1" applyBorder="1" applyAlignment="1">
      <alignment vertical="center" textRotation="0" wrapText="false" shrinkToFit="false"/>
    </xf>
    <xf xfId="0" fontId="22" numFmtId="0" fillId="0" borderId="31" applyFont="1" applyNumberFormat="0" applyFill="0" applyBorder="1" applyAlignment="0"/>
    <xf xfId="0" fontId="18" numFmtId="164" fillId="2" borderId="22" applyFont="1" applyNumberFormat="1" applyFill="1" applyBorder="1" applyAlignment="1">
      <alignment horizontal="center" vertical="center" textRotation="0" wrapText="false" shrinkToFit="false"/>
    </xf>
    <xf xfId="0" fontId="3" numFmtId="0" fillId="8" borderId="3" applyFont="1" applyNumberFormat="0" applyFill="1" applyBorder="1" applyAlignment="1">
      <alignment vertical="center" textRotation="0" wrapText="false" shrinkToFit="false"/>
    </xf>
    <xf xfId="0" fontId="18" numFmtId="0" fillId="2" borderId="33" applyFont="1" applyNumberFormat="0" applyFill="1" applyBorder="1" applyAlignment="1">
      <alignment horizontal="center" vertical="center" textRotation="0" wrapText="true" shrinkToFit="false"/>
    </xf>
    <xf xfId="0" fontId="18" numFmtId="0" fillId="2" borderId="34" applyFont="1" applyNumberFormat="0" applyFill="1" applyBorder="1" applyAlignment="1">
      <alignment horizontal="center" vertical="center" textRotation="0" wrapText="true" shrinkToFit="false"/>
    </xf>
    <xf xfId="0" fontId="22" numFmtId="0" fillId="0" borderId="0" applyFont="1" applyNumberFormat="0" applyFill="0" applyBorder="0" applyAlignment="0"/>
    <xf xfId="0" fontId="3" numFmtId="0" fillId="8" borderId="9" applyFont="1" applyNumberFormat="0" applyFill="1" applyBorder="1" applyAlignment="1">
      <alignment vertical="center" textRotation="0" wrapText="false" shrinkToFit="false"/>
    </xf>
    <xf xfId="0" fontId="3" numFmtId="0" fillId="6" borderId="9" applyFont="1" applyNumberFormat="0" applyFill="1" applyBorder="1" applyAlignment="1">
      <alignment vertical="center" textRotation="0" wrapText="false" shrinkToFit="false"/>
    </xf>
    <xf xfId="0" fontId="19" numFmtId="0" fillId="0" borderId="9" applyFont="1" applyNumberFormat="0" applyFill="0" applyBorder="1" applyAlignment="1">
      <alignment horizontal="center" vertical="center" textRotation="0" wrapText="false" shrinkToFit="false"/>
    </xf>
    <xf xfId="0" fontId="19" numFmtId="0" fillId="0" borderId="10" applyFont="1" applyNumberFormat="0" applyFill="0" applyBorder="1" applyAlignment="1">
      <alignment horizontal="center" vertical="center" textRotation="0" wrapText="false" shrinkToFit="false"/>
    </xf>
    <xf xfId="0" fontId="19" numFmtId="0" fillId="0" borderId="11" applyFont="1" applyNumberFormat="0" applyFill="0" applyBorder="1" applyAlignment="1">
      <alignment horizontal="center" vertical="center" textRotation="0" wrapText="false" shrinkToFit="false"/>
    </xf>
    <xf xfId="0" fontId="19" numFmtId="0" fillId="0" borderId="28" applyFont="1" applyNumberFormat="0" applyFill="0" applyBorder="1" applyAlignment="1">
      <alignment horizontal="center" vertical="center" textRotation="0" wrapText="false" shrinkToFit="false"/>
    </xf>
    <xf xfId="0" fontId="19" numFmtId="0" fillId="0" borderId="0" applyFont="1" applyNumberFormat="0" applyFill="0" applyBorder="0" applyAlignment="1">
      <alignment horizontal="center" vertical="center" textRotation="0" wrapText="false" shrinkToFit="false"/>
    </xf>
    <xf xfId="0" fontId="19" numFmtId="0" fillId="0" borderId="29" applyFont="1" applyNumberFormat="0" applyFill="0" applyBorder="1" applyAlignment="1">
      <alignment horizontal="center" vertical="center" textRotation="0" wrapText="false" shrinkToFit="false"/>
    </xf>
    <xf xfId="0" fontId="19" numFmtId="0" fillId="0" borderId="8" applyFont="1" applyNumberFormat="0" applyFill="0" applyBorder="1" applyAlignment="1">
      <alignment horizontal="center" vertical="center" textRotation="0" wrapText="false" shrinkToFit="false"/>
    </xf>
    <xf xfId="0" fontId="19" numFmtId="0" fillId="0" borderId="5" applyFont="1" applyNumberFormat="0" applyFill="0" applyBorder="1" applyAlignment="1">
      <alignment horizontal="center" vertical="center" textRotation="0" wrapText="false" shrinkToFit="false"/>
    </xf>
    <xf xfId="0" fontId="19" numFmtId="0" fillId="0" borderId="20" applyFont="1" applyNumberFormat="0" applyFill="0" applyBorder="1" applyAlignment="1">
      <alignment horizontal="center" vertical="center" textRotation="0" wrapText="false" shrinkToFit="false"/>
    </xf>
    <xf xfId="0" fontId="18" numFmtId="0" fillId="2" borderId="33" applyFont="1" applyNumberFormat="0" applyFill="1" applyBorder="1" applyAlignment="1">
      <alignment horizontal="center" vertical="center" textRotation="0" wrapText="false" shrinkToFit="false"/>
    </xf>
    <xf xfId="0" fontId="18" numFmtId="0" fillId="2" borderId="10" applyFont="1" applyNumberFormat="0" applyFill="1" applyBorder="1" applyAlignment="1">
      <alignment horizontal="center" vertical="center" textRotation="0" wrapText="false" shrinkToFit="false"/>
    </xf>
    <xf xfId="0" fontId="18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18" numFmtId="0" fillId="2" borderId="2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1e909fa521fa46271b1f18a17fe5bdd.png"/><Relationship Id="rId2" Type="http://schemas.openxmlformats.org/officeDocument/2006/relationships/image" Target="../media/3c9a73fafc3c284c669516db75d7ea4e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d1e909fa521fa46271b1f18a17fe5bdd.png"/><Relationship Id="rId2" Type="http://schemas.openxmlformats.org/officeDocument/2006/relationships/image" Target="../media/3c9a73fafc3c284c669516db75d7ea4e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56e4e746e9aa8d54ae90eedbc4b66aaf.png"/><Relationship Id="rId2" Type="http://schemas.openxmlformats.org/officeDocument/2006/relationships/image" Target="../media/d1e909fa521fa46271b1f18a17fe5bd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0500" cy="2000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0975" cy="190500"/>
    <xdr:pic>
      <xdr:nvPicPr>
        <xdr:cNvPr id="1" name="image4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190500" cy="190500"/>
    <xdr:pic>
      <xdr:nvPicPr>
        <xdr:cNvPr id="2" name="image3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" name="image7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2" name="image1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00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.75">
      <c r="A1" s="5"/>
      <c r="B1" s="118"/>
      <c r="C1" s="1"/>
      <c r="D1" s="1"/>
      <c r="E1" s="1"/>
      <c r="F1" s="1"/>
      <c r="G1" s="6"/>
      <c r="H1" s="6"/>
      <c r="I1" s="6"/>
      <c r="J1" s="6"/>
      <c r="K1" s="7"/>
      <c r="L1" s="1"/>
      <c r="M1" s="8"/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1"/>
      <c r="AI1" s="11"/>
      <c r="AJ1" s="11"/>
      <c r="AK1" s="10"/>
    </row>
    <row r="2" spans="1:37" customHeight="1" ht="15.75">
      <c r="A2" s="5"/>
      <c r="B2" s="113"/>
      <c r="C2" s="119"/>
      <c r="D2" s="113"/>
      <c r="E2" s="113"/>
      <c r="F2" s="1"/>
      <c r="G2" s="112" t="s">
        <v>0</v>
      </c>
      <c r="H2" s="113"/>
      <c r="I2" s="113"/>
      <c r="J2" s="113"/>
      <c r="K2" s="7" t="s">
        <v>1</v>
      </c>
      <c r="L2" s="1"/>
      <c r="M2" s="8">
        <v>2025</v>
      </c>
      <c r="N2" s="9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20" t="s">
        <v>2</v>
      </c>
      <c r="AI2" s="113"/>
      <c r="AJ2" s="113"/>
      <c r="AK2" s="10"/>
    </row>
    <row r="3" spans="1:37" customHeight="1" ht="15.75">
      <c r="A3" s="5"/>
      <c r="B3" s="113"/>
      <c r="C3" s="113"/>
      <c r="D3" s="113"/>
      <c r="E3" s="113"/>
      <c r="F3" s="1"/>
      <c r="G3" s="112" t="s">
        <v>3</v>
      </c>
      <c r="H3" s="113"/>
      <c r="I3" s="113"/>
      <c r="J3" s="113"/>
      <c r="K3" s="7" t="s">
        <v>4</v>
      </c>
      <c r="L3" s="4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13"/>
      <c r="AI3" s="113"/>
      <c r="AJ3" s="113"/>
      <c r="AK3" s="10"/>
    </row>
    <row r="4" spans="1:37" customHeight="1" ht="15.75">
      <c r="A4" s="5"/>
      <c r="B4" s="113"/>
      <c r="C4" s="113"/>
      <c r="D4" s="113"/>
      <c r="E4" s="113"/>
      <c r="F4" s="1"/>
      <c r="G4" s="112" t="s">
        <v>5</v>
      </c>
      <c r="H4" s="113"/>
      <c r="I4" s="113"/>
      <c r="J4" s="113"/>
      <c r="K4" s="7" t="s">
        <v>4</v>
      </c>
      <c r="L4" s="4"/>
      <c r="M4" s="9"/>
      <c r="N4" s="9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3"/>
      <c r="AI4" s="113"/>
      <c r="AJ4" s="113"/>
      <c r="AK4" s="10"/>
    </row>
    <row r="5" spans="1:37" customHeight="1" ht="15.75">
      <c r="A5" s="5"/>
      <c r="B5" s="113"/>
      <c r="C5" s="113"/>
      <c r="D5" s="113"/>
      <c r="E5" s="113"/>
      <c r="F5" s="1"/>
      <c r="G5" s="112" t="s">
        <v>6</v>
      </c>
      <c r="H5" s="113"/>
      <c r="I5" s="113"/>
      <c r="J5" s="113"/>
      <c r="K5" s="7" t="s">
        <v>4</v>
      </c>
      <c r="L5" s="4"/>
      <c r="M5" s="9"/>
      <c r="N5" s="9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13"/>
      <c r="AI5" s="113"/>
      <c r="AJ5" s="113"/>
      <c r="AK5" s="10"/>
    </row>
    <row r="6" spans="1:37" customHeight="1" ht="15.75">
      <c r="A6" s="5"/>
      <c r="B6" s="113"/>
      <c r="C6" s="113"/>
      <c r="D6" s="113"/>
      <c r="E6" s="113"/>
      <c r="F6" s="1"/>
      <c r="G6" s="112" t="s">
        <v>7</v>
      </c>
      <c r="H6" s="113"/>
      <c r="I6" s="113"/>
      <c r="J6" s="113"/>
      <c r="K6" s="7" t="s">
        <v>4</v>
      </c>
      <c r="L6" s="4"/>
      <c r="M6" s="9"/>
      <c r="N6" s="9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13"/>
      <c r="AI6" s="113"/>
      <c r="AJ6" s="113"/>
      <c r="AK6" s="10"/>
    </row>
    <row r="7" spans="1:37" customHeight="1" ht="15.75">
      <c r="A7" s="5"/>
      <c r="B7" s="113"/>
      <c r="C7" s="113"/>
      <c r="D7" s="113"/>
      <c r="E7" s="113"/>
      <c r="F7" s="1"/>
      <c r="G7" s="112" t="s">
        <v>8</v>
      </c>
      <c r="H7" s="113"/>
      <c r="I7" s="113"/>
      <c r="J7" s="113"/>
      <c r="K7" s="7" t="s">
        <v>4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13"/>
      <c r="AI7" s="113"/>
      <c r="AJ7" s="113"/>
      <c r="AK7" s="10"/>
    </row>
    <row r="8" spans="1:37" customHeight="1" ht="15.75">
      <c r="A8" s="5"/>
      <c r="B8" s="113"/>
      <c r="C8" s="1"/>
      <c r="D8" s="1"/>
      <c r="E8" s="1"/>
      <c r="F8" s="1"/>
      <c r="G8" s="1"/>
      <c r="H8" s="1"/>
      <c r="I8" s="12"/>
      <c r="J8" s="114" t="s">
        <v>9</v>
      </c>
      <c r="K8" s="113"/>
      <c r="L8" s="113"/>
      <c r="M8" s="113"/>
      <c r="N8" s="113"/>
      <c r="O8" s="113"/>
      <c r="P8" s="113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customHeight="1" ht="15.75">
      <c r="A9" s="115" t="s">
        <v>10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7"/>
    </row>
    <row r="10" spans="1:37" customHeight="1" ht="15.75">
      <c r="A10" s="13" t="s">
        <v>11</v>
      </c>
      <c r="B10" s="13" t="s">
        <v>12</v>
      </c>
      <c r="C10" s="13" t="s">
        <v>13</v>
      </c>
      <c r="D10" s="13" t="s">
        <v>14</v>
      </c>
      <c r="E10" s="13" t="s">
        <v>15</v>
      </c>
      <c r="F10" s="13" t="s">
        <v>16</v>
      </c>
      <c r="G10" s="13" t="s">
        <v>17</v>
      </c>
      <c r="H10" s="13" t="s">
        <v>18</v>
      </c>
      <c r="I10" s="13" t="s">
        <v>19</v>
      </c>
      <c r="J10" s="13" t="s">
        <v>20</v>
      </c>
      <c r="K10" s="13" t="s">
        <v>21</v>
      </c>
      <c r="L10" s="13" t="s">
        <v>22</v>
      </c>
      <c r="M10" s="13" t="s">
        <v>23</v>
      </c>
      <c r="N10" s="13" t="s">
        <v>24</v>
      </c>
      <c r="O10" s="13" t="s">
        <v>25</v>
      </c>
      <c r="P10" s="13" t="s">
        <v>26</v>
      </c>
      <c r="Q10" s="13" t="s">
        <v>27</v>
      </c>
      <c r="R10" s="13" t="s">
        <v>28</v>
      </c>
      <c r="S10" s="13" t="s">
        <v>29</v>
      </c>
      <c r="T10" s="13" t="s">
        <v>30</v>
      </c>
      <c r="U10" s="13" t="s">
        <v>31</v>
      </c>
      <c r="V10" s="13" t="s">
        <v>32</v>
      </c>
      <c r="W10" s="13" t="s">
        <v>33</v>
      </c>
      <c r="X10" s="13" t="s">
        <v>34</v>
      </c>
      <c r="Y10" s="13" t="s">
        <v>35</v>
      </c>
      <c r="Z10" s="13" t="s">
        <v>36</v>
      </c>
      <c r="AA10" s="13" t="s">
        <v>37</v>
      </c>
      <c r="AB10" s="13" t="s">
        <v>38</v>
      </c>
      <c r="AC10" s="13" t="s">
        <v>39</v>
      </c>
      <c r="AD10" s="13" t="s">
        <v>40</v>
      </c>
      <c r="AE10" s="13" t="s">
        <v>41</v>
      </c>
      <c r="AF10" s="13" t="s">
        <v>42</v>
      </c>
      <c r="AG10" s="13" t="s">
        <v>43</v>
      </c>
      <c r="AH10" s="13" t="s">
        <v>44</v>
      </c>
      <c r="AI10" s="13" t="s">
        <v>45</v>
      </c>
      <c r="AJ10" s="13" t="s">
        <v>46</v>
      </c>
      <c r="AK10" s="13" t="s">
        <v>47</v>
      </c>
    </row>
    <row r="11" spans="1:37" customHeight="1" ht="15.75">
      <c r="A11" s="14" t="s">
        <v>48</v>
      </c>
      <c r="B11" s="15" t="s">
        <v>49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7" customHeight="1" ht="15.75">
      <c r="A12" s="17" t="s">
        <v>50</v>
      </c>
      <c r="B12" s="18" t="s">
        <v>51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6"/>
      <c r="AJ12" s="16"/>
      <c r="AK12" s="16"/>
    </row>
    <row r="13" spans="1:37" customHeight="1" ht="15.75">
      <c r="A13" s="17" t="s">
        <v>52</v>
      </c>
      <c r="B13" s="18" t="s">
        <v>53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6"/>
      <c r="AJ13" s="16"/>
      <c r="AK13" s="16"/>
    </row>
    <row r="14" spans="1:37" customHeight="1" ht="15.75">
      <c r="A14" s="17" t="s">
        <v>54</v>
      </c>
      <c r="B14" s="18" t="s">
        <v>55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6"/>
      <c r="AJ14" s="16"/>
      <c r="AK14" s="16"/>
    </row>
    <row r="15" spans="1:37" customHeight="1" ht="15.75">
      <c r="A15" s="17" t="s">
        <v>56</v>
      </c>
      <c r="B15" s="18" t="s">
        <v>57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6"/>
      <c r="AJ15" s="16"/>
      <c r="AK15" s="16"/>
    </row>
    <row r="16" spans="1:37" customHeight="1" ht="15.75">
      <c r="A16" s="17" t="s">
        <v>58</v>
      </c>
      <c r="B16" s="18" t="s">
        <v>59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6"/>
      <c r="AJ16" s="16"/>
      <c r="AK16" s="16"/>
    </row>
    <row r="17" spans="1:37" customHeight="1" ht="15.75">
      <c r="A17" s="17" t="s">
        <v>60</v>
      </c>
      <c r="B17" s="18" t="s">
        <v>61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6"/>
      <c r="AJ17" s="16"/>
      <c r="AK17" s="16"/>
    </row>
    <row r="18" spans="1:37" customHeight="1" ht="15.75">
      <c r="A18" s="17" t="s">
        <v>62</v>
      </c>
      <c r="B18" s="18" t="s">
        <v>63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6"/>
      <c r="AJ18" s="16"/>
      <c r="AK18" s="16"/>
    </row>
    <row r="19" spans="1:37" customHeight="1" ht="15.75">
      <c r="A19" s="17" t="s">
        <v>64</v>
      </c>
      <c r="B19" s="18" t="s">
        <v>65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6"/>
      <c r="AJ19" s="16"/>
      <c r="AK19" s="16"/>
    </row>
    <row r="20" spans="1:37" customHeight="1" ht="15.75">
      <c r="A20" s="17" t="s">
        <v>66</v>
      </c>
      <c r="B20" s="18" t="s">
        <v>67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6"/>
      <c r="AJ20" s="16"/>
      <c r="AK20" s="16"/>
    </row>
    <row r="21" spans="1:37" customHeight="1" ht="15.75">
      <c r="A21" s="17" t="s">
        <v>68</v>
      </c>
      <c r="B21" s="18" t="s">
        <v>69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6"/>
      <c r="AJ21" s="16"/>
      <c r="AK21" s="16"/>
    </row>
    <row r="22" spans="1:37" customHeight="1" ht="15.75">
      <c r="A22" s="17" t="s">
        <v>70</v>
      </c>
      <c r="B22" s="18" t="s">
        <v>71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6"/>
      <c r="AJ22" s="16"/>
      <c r="AK22" s="16"/>
    </row>
    <row r="23" spans="1:37" customHeight="1" ht="15.75">
      <c r="A23" s="17" t="s">
        <v>72</v>
      </c>
      <c r="B23" s="18" t="s">
        <v>73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6"/>
      <c r="AJ23" s="16"/>
      <c r="AK23" s="16"/>
    </row>
    <row r="24" spans="1:37" customHeight="1" ht="15.75">
      <c r="A24" s="17" t="s">
        <v>74</v>
      </c>
      <c r="B24" s="18" t="s">
        <v>75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6"/>
      <c r="AJ24" s="16"/>
      <c r="AK24" s="16"/>
    </row>
    <row r="25" spans="1:37" customHeight="1" ht="15.75">
      <c r="A25" s="17" t="s">
        <v>76</v>
      </c>
      <c r="B25" s="18" t="s">
        <v>77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6"/>
      <c r="AJ25" s="16"/>
      <c r="AK25" s="16"/>
    </row>
    <row r="26" spans="1:37" customHeight="1" ht="15.75">
      <c r="A26" s="17" t="s">
        <v>78</v>
      </c>
      <c r="B26" s="18" t="s">
        <v>79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6"/>
      <c r="AJ26" s="16"/>
      <c r="AK26" s="16"/>
    </row>
    <row r="27" spans="1:37" customHeight="1" ht="15.75">
      <c r="A27" s="17" t="s">
        <v>80</v>
      </c>
      <c r="B27" s="18" t="s">
        <v>81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6"/>
      <c r="AJ27" s="16"/>
      <c r="AK27" s="16"/>
    </row>
    <row r="28" spans="1:37" customHeight="1" ht="15.75">
      <c r="A28" s="17" t="s">
        <v>82</v>
      </c>
      <c r="B28" s="18" t="s">
        <v>83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6"/>
      <c r="AJ28" s="16"/>
      <c r="AK28" s="16"/>
    </row>
    <row r="29" spans="1:37" customHeight="1" ht="15.75">
      <c r="A29" s="17" t="s">
        <v>84</v>
      </c>
      <c r="B29" s="18" t="s">
        <v>85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6"/>
      <c r="AJ29" s="16"/>
      <c r="AK29" s="16"/>
    </row>
    <row r="30" spans="1:37" customHeight="1" ht="15.75">
      <c r="A30" s="17" t="s">
        <v>86</v>
      </c>
      <c r="B30" s="18" t="s">
        <v>87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6"/>
      <c r="AJ30" s="16"/>
      <c r="AK30" s="16"/>
    </row>
    <row r="31" spans="1:37" customHeight="1" ht="15.75">
      <c r="A31" s="17" t="s">
        <v>88</v>
      </c>
      <c r="B31" s="18" t="s">
        <v>89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6"/>
      <c r="AJ31" s="16"/>
      <c r="AK31" s="16"/>
    </row>
    <row r="32" spans="1:37" customHeight="1" ht="15.75">
      <c r="A32" s="17" t="s">
        <v>90</v>
      </c>
      <c r="B32" s="18" t="s">
        <v>91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6"/>
      <c r="AJ32" s="16"/>
      <c r="AK32" s="16"/>
    </row>
    <row r="33" spans="1:37" customHeight="1" ht="15.75">
      <c r="A33" s="17" t="s">
        <v>92</v>
      </c>
      <c r="B33" s="18" t="s">
        <v>93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6"/>
      <c r="AJ33" s="16"/>
      <c r="AK33" s="16"/>
    </row>
    <row r="34" spans="1:37" customHeight="1" ht="15.75">
      <c r="A34" s="17" t="s">
        <v>94</v>
      </c>
      <c r="B34" s="18" t="s">
        <v>95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6"/>
      <c r="AJ34" s="16"/>
      <c r="AK34" s="16"/>
    </row>
    <row r="35" spans="1:37" customHeight="1" ht="15.75">
      <c r="A35" s="17" t="s">
        <v>96</v>
      </c>
      <c r="B35" s="18" t="s">
        <v>97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6"/>
      <c r="AJ35" s="16"/>
      <c r="AK35" s="16"/>
    </row>
    <row r="36" spans="1:37" customHeight="1" ht="15.75">
      <c r="A36" s="17" t="s">
        <v>98</v>
      </c>
      <c r="B36" s="18" t="s">
        <v>99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6"/>
      <c r="AJ36" s="16"/>
      <c r="AK36" s="16"/>
    </row>
    <row r="37" spans="1:37" customHeight="1" ht="15.75">
      <c r="A37" s="17" t="s">
        <v>100</v>
      </c>
      <c r="B37" s="18" t="s">
        <v>101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6"/>
      <c r="AJ37" s="16"/>
      <c r="AK37" s="16"/>
    </row>
    <row r="38" spans="1:37" customHeight="1" ht="15.75">
      <c r="A38" s="17" t="s">
        <v>102</v>
      </c>
      <c r="B38" s="18" t="s">
        <v>103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6"/>
      <c r="AJ38" s="16"/>
      <c r="AK38" s="16"/>
    </row>
    <row r="39" spans="1:37" customHeight="1" ht="15.75">
      <c r="A39" s="17" t="s">
        <v>104</v>
      </c>
      <c r="B39" s="18" t="s">
        <v>105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6"/>
      <c r="AJ39" s="16"/>
      <c r="AK39" s="16"/>
    </row>
    <row r="40" spans="1:37" customHeight="1" ht="15.75">
      <c r="A40" s="17" t="s">
        <v>106</v>
      </c>
      <c r="B40" s="18" t="s">
        <v>107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6"/>
      <c r="AJ40" s="16"/>
      <c r="AK40" s="16"/>
    </row>
    <row r="41" spans="1:37" customHeight="1" ht="15.75">
      <c r="A41" s="17" t="s">
        <v>108</v>
      </c>
      <c r="B41" s="18" t="s">
        <v>109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6"/>
      <c r="AJ41" s="16"/>
      <c r="AK41" s="16"/>
    </row>
    <row r="42" spans="1:37" customHeight="1" ht="15.75">
      <c r="A42" s="17" t="s">
        <v>110</v>
      </c>
      <c r="B42" s="18" t="s">
        <v>111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6"/>
      <c r="AJ42" s="16"/>
      <c r="AK42" s="16"/>
    </row>
    <row r="43" spans="1:37" customHeight="1" ht="15.75">
      <c r="A43" s="17" t="s">
        <v>112</v>
      </c>
      <c r="B43" s="18" t="s">
        <v>113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6"/>
      <c r="AJ43" s="16"/>
      <c r="AK43" s="16"/>
    </row>
    <row r="44" spans="1:37" customHeight="1" ht="15.75">
      <c r="A44" s="17" t="s">
        <v>114</v>
      </c>
      <c r="B44" s="18" t="s">
        <v>115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6"/>
      <c r="AJ44" s="16"/>
      <c r="AK44" s="16"/>
    </row>
    <row r="45" spans="1:37" customHeight="1" ht="15.75">
      <c r="A45" s="17" t="s">
        <v>116</v>
      </c>
      <c r="B45" s="18" t="s">
        <v>117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6"/>
      <c r="AJ45" s="16"/>
      <c r="AK45" s="16"/>
    </row>
    <row r="46" spans="1:37" customHeight="1" ht="15.75">
      <c r="A46" s="17" t="s">
        <v>118</v>
      </c>
      <c r="B46" s="18" t="s">
        <v>119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6"/>
      <c r="AJ46" s="16"/>
      <c r="AK46" s="16"/>
    </row>
    <row r="47" spans="1:37" customHeight="1" ht="15.75">
      <c r="A47" s="17" t="s">
        <v>120</v>
      </c>
      <c r="B47" s="18" t="s">
        <v>121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6"/>
      <c r="AJ47" s="16"/>
      <c r="AK47" s="16"/>
    </row>
    <row r="48" spans="1:37" customHeight="1" ht="15.75">
      <c r="A48" s="17" t="s">
        <v>122</v>
      </c>
      <c r="B48" s="18" t="s">
        <v>123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6"/>
      <c r="AJ48" s="16"/>
      <c r="AK48" s="16"/>
    </row>
    <row r="49" spans="1:37" customHeight="1" ht="15.75">
      <c r="A49" s="17" t="s">
        <v>124</v>
      </c>
      <c r="B49" s="18" t="s">
        <v>125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6"/>
      <c r="AJ49" s="16"/>
      <c r="AK49" s="16"/>
    </row>
    <row r="50" spans="1:37" customHeight="1" ht="15.75">
      <c r="A50" s="17" t="s">
        <v>126</v>
      </c>
      <c r="B50" s="18" t="s">
        <v>127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6"/>
      <c r="AJ50" s="16"/>
      <c r="AK50" s="16"/>
    </row>
    <row r="51" spans="1:37" customHeight="1" ht="15.75">
      <c r="A51" s="17" t="s">
        <v>128</v>
      </c>
      <c r="B51" s="18" t="s">
        <v>129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6"/>
      <c r="AJ51" s="16"/>
      <c r="AK51" s="16"/>
    </row>
    <row r="52" spans="1:37" customHeight="1" ht="15.75">
      <c r="A52" s="17" t="s">
        <v>130</v>
      </c>
      <c r="B52" s="18" t="s">
        <v>131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6"/>
      <c r="AJ52" s="16"/>
      <c r="AK52" s="16"/>
    </row>
    <row r="53" spans="1:37" customHeight="1" ht="15.75">
      <c r="A53" s="17" t="s">
        <v>132</v>
      </c>
      <c r="B53" s="18" t="s">
        <v>133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6"/>
      <c r="AJ53" s="16"/>
      <c r="AK53" s="16"/>
    </row>
    <row r="54" spans="1:37" customHeight="1" ht="15.75">
      <c r="A54" s="17" t="s">
        <v>134</v>
      </c>
      <c r="B54" s="18" t="s">
        <v>135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6"/>
      <c r="AJ54" s="16"/>
      <c r="AK54" s="16"/>
    </row>
    <row r="55" spans="1:37" customHeight="1" ht="15.75">
      <c r="A55" s="17" t="s">
        <v>136</v>
      </c>
      <c r="B55" s="18" t="s">
        <v>137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6"/>
      <c r="AJ55" s="16"/>
      <c r="AK55" s="16"/>
    </row>
    <row r="56" spans="1:37" customHeight="1" ht="15.75">
      <c r="A56" s="17" t="s">
        <v>138</v>
      </c>
      <c r="B56" s="18" t="s">
        <v>139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6"/>
      <c r="AJ56" s="16"/>
      <c r="AK56" s="16"/>
    </row>
    <row r="57" spans="1:37" customHeight="1" ht="15.75">
      <c r="A57" s="17" t="s">
        <v>140</v>
      </c>
      <c r="B57" s="18" t="s">
        <v>141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6"/>
      <c r="AJ57" s="16"/>
      <c r="AK57" s="16"/>
    </row>
    <row r="58" spans="1:37" customHeight="1" ht="15.75">
      <c r="A58" s="17" t="s">
        <v>142</v>
      </c>
      <c r="B58" s="18" t="s">
        <v>143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6"/>
      <c r="AJ58" s="16"/>
      <c r="AK58" s="16"/>
    </row>
    <row r="59" spans="1:37" customHeight="1" ht="15.75">
      <c r="A59" s="17" t="s">
        <v>144</v>
      </c>
      <c r="B59" s="18" t="s">
        <v>145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6"/>
      <c r="AJ59" s="16"/>
      <c r="AK59" s="16"/>
    </row>
    <row r="60" spans="1:37" customHeight="1" ht="15.75">
      <c r="A60" s="17" t="s">
        <v>146</v>
      </c>
      <c r="B60" s="18" t="s">
        <v>147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6"/>
      <c r="AJ60" s="16"/>
      <c r="AK60" s="16"/>
    </row>
    <row r="61" spans="1:37" customHeight="1" ht="15.75">
      <c r="A61" s="17" t="s">
        <v>148</v>
      </c>
      <c r="B61" s="18" t="s">
        <v>149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6"/>
      <c r="AJ61" s="16"/>
      <c r="AK61" s="16"/>
    </row>
    <row r="62" spans="1:37" customHeight="1" ht="15.75">
      <c r="A62" s="17" t="s">
        <v>150</v>
      </c>
      <c r="B62" s="18" t="s">
        <v>151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6"/>
      <c r="AJ62" s="16"/>
      <c r="AK62" s="16"/>
    </row>
    <row r="63" spans="1:37" customHeight="1" ht="15.75">
      <c r="A63" s="17" t="s">
        <v>152</v>
      </c>
      <c r="B63" s="18" t="s">
        <v>153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6"/>
      <c r="AJ63" s="16"/>
      <c r="AK63" s="16"/>
    </row>
    <row r="64" spans="1:37" customHeight="1" ht="15.75">
      <c r="A64" s="17" t="s">
        <v>154</v>
      </c>
      <c r="B64" s="18" t="s">
        <v>155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6"/>
      <c r="AJ64" s="16"/>
      <c r="AK64" s="16"/>
    </row>
    <row r="65" spans="1:37" customHeight="1" ht="15.75">
      <c r="A65" s="17" t="s">
        <v>156</v>
      </c>
      <c r="B65" s="18" t="s">
        <v>157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6"/>
      <c r="AJ65" s="16"/>
      <c r="AK65" s="16"/>
    </row>
    <row r="66" spans="1:37" customHeight="1" ht="15.75">
      <c r="A66" s="17" t="s">
        <v>158</v>
      </c>
      <c r="B66" s="18" t="s">
        <v>159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6"/>
      <c r="AJ66" s="16"/>
      <c r="AK66" s="16"/>
    </row>
    <row r="67" spans="1:37" customHeight="1" ht="15.75">
      <c r="A67" s="17" t="s">
        <v>160</v>
      </c>
      <c r="B67" s="18" t="s">
        <v>161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6"/>
      <c r="AJ67" s="16"/>
      <c r="AK67" s="16"/>
    </row>
    <row r="68" spans="1:37" customHeight="1" ht="15.75">
      <c r="A68" s="17" t="s">
        <v>162</v>
      </c>
      <c r="B68" s="18" t="s">
        <v>163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6"/>
      <c r="AJ68" s="16"/>
      <c r="AK68" s="16"/>
    </row>
    <row r="69" spans="1:37" customHeight="1" ht="15.75">
      <c r="A69" s="17" t="s">
        <v>164</v>
      </c>
      <c r="B69" s="18" t="s">
        <v>165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6"/>
      <c r="AJ69" s="16"/>
      <c r="AK69" s="16"/>
    </row>
    <row r="70" spans="1:37" customHeight="1" ht="15.75">
      <c r="A70" s="17" t="s">
        <v>166</v>
      </c>
      <c r="B70" s="18" t="s">
        <v>167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6"/>
      <c r="AJ70" s="16"/>
      <c r="AK70" s="16"/>
    </row>
    <row r="71" spans="1:37" customHeight="1" ht="15.75">
      <c r="A71" s="14" t="s">
        <v>168</v>
      </c>
      <c r="B71" s="20" t="s">
        <v>169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1:37" customHeight="1" ht="15.75">
      <c r="A72" s="17" t="s">
        <v>170</v>
      </c>
      <c r="B72" s="18" t="s">
        <v>171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6"/>
      <c r="AJ72" s="16"/>
      <c r="AK72" s="16"/>
    </row>
    <row r="73" spans="1:37" customHeight="1" ht="15.75">
      <c r="A73" s="17" t="s">
        <v>172</v>
      </c>
      <c r="B73" s="18" t="s">
        <v>173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6"/>
      <c r="AJ73" s="16"/>
      <c r="AK73" s="16"/>
    </row>
    <row r="74" spans="1:37" customHeight="1" ht="15.75">
      <c r="A74" s="17" t="s">
        <v>174</v>
      </c>
      <c r="B74" s="18" t="s">
        <v>175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6"/>
      <c r="AJ74" s="16"/>
      <c r="AK74" s="16"/>
    </row>
    <row r="75" spans="1:37" customHeight="1" ht="15.75">
      <c r="A75" s="17" t="s">
        <v>176</v>
      </c>
      <c r="B75" s="18" t="s">
        <v>177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6"/>
      <c r="AJ75" s="16"/>
      <c r="AK75" s="16"/>
    </row>
    <row r="76" spans="1:37" customHeight="1" ht="15.75">
      <c r="A76" s="17" t="s">
        <v>178</v>
      </c>
      <c r="B76" s="18" t="s">
        <v>179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6"/>
      <c r="AJ76" s="16"/>
      <c r="AK76" s="16"/>
    </row>
    <row r="77" spans="1:37" customHeight="1" ht="15.75">
      <c r="A77" s="17" t="s">
        <v>180</v>
      </c>
      <c r="B77" s="18" t="s">
        <v>181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6"/>
      <c r="AJ77" s="16"/>
      <c r="AK77" s="16"/>
    </row>
    <row r="78" spans="1:37" customHeight="1" ht="15.75">
      <c r="A78" s="17" t="s">
        <v>182</v>
      </c>
      <c r="B78" s="18" t="s">
        <v>183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6"/>
      <c r="AJ78" s="16"/>
      <c r="AK78" s="16"/>
    </row>
    <row r="79" spans="1:37" customHeight="1" ht="15.75">
      <c r="A79" s="17" t="s">
        <v>184</v>
      </c>
      <c r="B79" s="18" t="s">
        <v>185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6"/>
      <c r="AJ79" s="16"/>
      <c r="AK79" s="16"/>
    </row>
    <row r="80" spans="1:37" customHeight="1" ht="15.75">
      <c r="A80" s="17" t="s">
        <v>186</v>
      </c>
      <c r="B80" s="18" t="s">
        <v>187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6"/>
      <c r="AJ80" s="16"/>
      <c r="AK80" s="16"/>
    </row>
    <row r="81" spans="1:37" customHeight="1" ht="15.75">
      <c r="A81" s="17" t="s">
        <v>188</v>
      </c>
      <c r="B81" s="18" t="s">
        <v>189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6"/>
      <c r="AJ81" s="16"/>
      <c r="AK81" s="16"/>
    </row>
    <row r="82" spans="1:37" customHeight="1" ht="15.75">
      <c r="A82" s="17" t="s">
        <v>190</v>
      </c>
      <c r="B82" s="18" t="s">
        <v>191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6"/>
      <c r="AJ82" s="16"/>
      <c r="AK82" s="16"/>
    </row>
    <row r="83" spans="1:37" customHeight="1" ht="15.75">
      <c r="A83" s="17" t="s">
        <v>192</v>
      </c>
      <c r="B83" s="18" t="s">
        <v>193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6"/>
      <c r="AJ83" s="16"/>
      <c r="AK83" s="16"/>
    </row>
    <row r="84" spans="1:37" customHeight="1" ht="15.75">
      <c r="A84" s="17" t="s">
        <v>194</v>
      </c>
      <c r="B84" s="18" t="s">
        <v>195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6"/>
      <c r="AJ84" s="16"/>
      <c r="AK84" s="16"/>
    </row>
    <row r="85" spans="1:37" customHeight="1" ht="15.75">
      <c r="A85" s="17" t="s">
        <v>196</v>
      </c>
      <c r="B85" s="18" t="s">
        <v>197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6"/>
      <c r="AJ85" s="16"/>
      <c r="AK85" s="16"/>
    </row>
    <row r="86" spans="1:37" customHeight="1" ht="15.75">
      <c r="A86" s="17" t="s">
        <v>198</v>
      </c>
      <c r="B86" s="18" t="s">
        <v>199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6"/>
      <c r="AJ86" s="16"/>
      <c r="AK86" s="16"/>
    </row>
    <row r="87" spans="1:37" customHeight="1" ht="15.75">
      <c r="A87" s="17" t="s">
        <v>200</v>
      </c>
      <c r="B87" s="18" t="s">
        <v>201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6"/>
      <c r="AJ87" s="16"/>
      <c r="AK87" s="16"/>
    </row>
    <row r="88" spans="1:37" customHeight="1" ht="15.75">
      <c r="A88" s="17" t="s">
        <v>202</v>
      </c>
      <c r="B88" s="18" t="s">
        <v>203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6"/>
      <c r="AJ88" s="16"/>
      <c r="AK88" s="16"/>
    </row>
    <row r="89" spans="1:37" customHeight="1" ht="15.75">
      <c r="A89" s="17" t="s">
        <v>204</v>
      </c>
      <c r="B89" s="18" t="s">
        <v>205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6"/>
      <c r="AJ89" s="16"/>
      <c r="AK89" s="16"/>
    </row>
    <row r="90" spans="1:37" customHeight="1" ht="15.75">
      <c r="A90" s="17" t="s">
        <v>206</v>
      </c>
      <c r="B90" s="18" t="s">
        <v>207</v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6"/>
      <c r="AJ90" s="16"/>
      <c r="AK90" s="16"/>
    </row>
    <row r="91" spans="1:37" customHeight="1" ht="15.75">
      <c r="A91" s="17" t="s">
        <v>208</v>
      </c>
      <c r="B91" s="18" t="s">
        <v>209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6"/>
      <c r="AJ91" s="16"/>
      <c r="AK91" s="16"/>
    </row>
    <row r="92" spans="1:37" customHeight="1" ht="15.75">
      <c r="A92" s="17" t="s">
        <v>210</v>
      </c>
      <c r="B92" s="18" t="s">
        <v>211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6"/>
      <c r="AJ92" s="16"/>
      <c r="AK92" s="16"/>
    </row>
    <row r="93" spans="1:37" customHeight="1" ht="15.75">
      <c r="A93" s="17" t="s">
        <v>212</v>
      </c>
      <c r="B93" s="18" t="s">
        <v>213</v>
      </c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6"/>
      <c r="AJ93" s="16"/>
      <c r="AK93" s="16"/>
    </row>
    <row r="94" spans="1:37" customHeight="1" ht="15.75">
      <c r="A94" s="17" t="s">
        <v>214</v>
      </c>
      <c r="B94" s="18" t="s">
        <v>215</v>
      </c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6"/>
      <c r="AJ94" s="16"/>
      <c r="AK94" s="16"/>
    </row>
    <row r="95" spans="1:37" customHeight="1" ht="15.75">
      <c r="A95" s="17" t="s">
        <v>216</v>
      </c>
      <c r="B95" s="18" t="s">
        <v>217</v>
      </c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6"/>
      <c r="AJ95" s="16"/>
      <c r="AK95" s="16"/>
    </row>
    <row r="96" spans="1:37" customHeight="1" ht="15.75">
      <c r="A96" s="17" t="s">
        <v>218</v>
      </c>
      <c r="B96" s="18" t="s">
        <v>219</v>
      </c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6"/>
      <c r="AJ96" s="16"/>
      <c r="AK96" s="16"/>
    </row>
    <row r="97" spans="1:37" customHeight="1" ht="15.75">
      <c r="A97" s="17" t="s">
        <v>220</v>
      </c>
      <c r="B97" s="18" t="s">
        <v>221</v>
      </c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6"/>
      <c r="AJ97" s="16"/>
      <c r="AK97" s="16"/>
    </row>
    <row r="98" spans="1:37" customHeight="1" ht="15.75">
      <c r="A98" s="17" t="s">
        <v>222</v>
      </c>
      <c r="B98" s="18" t="s">
        <v>223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6"/>
      <c r="AJ98" s="16"/>
      <c r="AK98" s="16"/>
    </row>
    <row r="99" spans="1:37" customHeight="1" ht="15.75">
      <c r="A99" s="17" t="s">
        <v>224</v>
      </c>
      <c r="B99" s="18" t="s">
        <v>225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6"/>
      <c r="AJ99" s="16"/>
      <c r="AK99" s="16"/>
    </row>
    <row r="100" spans="1:37" customHeight="1" ht="15.75">
      <c r="A100" s="17" t="s">
        <v>226</v>
      </c>
      <c r="B100" s="18" t="s">
        <v>227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6"/>
      <c r="AJ100" s="16"/>
      <c r="AK100" s="16"/>
    </row>
    <row r="101" spans="1:37" customHeight="1" ht="15.75">
      <c r="A101" s="17" t="s">
        <v>228</v>
      </c>
      <c r="B101" s="18" t="s">
        <v>229</v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6"/>
      <c r="AJ101" s="16"/>
      <c r="AK101" s="16"/>
    </row>
    <row r="102" spans="1:37" customHeight="1" ht="15.75">
      <c r="A102" s="17" t="s">
        <v>230</v>
      </c>
      <c r="B102" s="18" t="s">
        <v>231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6"/>
      <c r="AJ102" s="16"/>
      <c r="AK102" s="16"/>
    </row>
    <row r="103" spans="1:37" customHeight="1" ht="15.75">
      <c r="A103" s="17" t="s">
        <v>232</v>
      </c>
      <c r="B103" s="18" t="s">
        <v>233</v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6"/>
      <c r="AJ103" s="16"/>
      <c r="AK103" s="16"/>
    </row>
    <row r="104" spans="1:37" customHeight="1" ht="15.75">
      <c r="A104" s="17" t="s">
        <v>234</v>
      </c>
      <c r="B104" s="18" t="s">
        <v>235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6"/>
      <c r="AJ104" s="16"/>
      <c r="AK104" s="16"/>
    </row>
    <row r="105" spans="1:37" customHeight="1" ht="15.75">
      <c r="A105" s="17" t="s">
        <v>236</v>
      </c>
      <c r="B105" s="18" t="s">
        <v>237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6"/>
      <c r="AJ105" s="16"/>
      <c r="AK105" s="16"/>
    </row>
    <row r="106" spans="1:37" customHeight="1" ht="15.75">
      <c r="A106" s="17" t="s">
        <v>238</v>
      </c>
      <c r="B106" s="18" t="s">
        <v>239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6"/>
      <c r="AJ106" s="16"/>
      <c r="AK106" s="16"/>
    </row>
    <row r="107" spans="1:37" customHeight="1" ht="15.75">
      <c r="A107" s="17" t="s">
        <v>240</v>
      </c>
      <c r="B107" s="18" t="s">
        <v>241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6"/>
      <c r="AJ107" s="16"/>
      <c r="AK107" s="16"/>
    </row>
    <row r="108" spans="1:37" customHeight="1" ht="15.75">
      <c r="A108" s="17" t="s">
        <v>242</v>
      </c>
      <c r="B108" s="18" t="s">
        <v>243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6"/>
      <c r="AJ108" s="16"/>
      <c r="AK108" s="16"/>
    </row>
    <row r="109" spans="1:37" customHeight="1" ht="15.75">
      <c r="A109" s="17" t="s">
        <v>244</v>
      </c>
      <c r="B109" s="18" t="s">
        <v>245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6"/>
      <c r="AJ109" s="16"/>
      <c r="AK109" s="16"/>
    </row>
    <row r="110" spans="1:37" customHeight="1" ht="15.75">
      <c r="A110" s="17" t="s">
        <v>246</v>
      </c>
      <c r="B110" s="18" t="s">
        <v>247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6"/>
      <c r="AJ110" s="16"/>
      <c r="AK110" s="16"/>
    </row>
    <row r="111" spans="1:37" customHeight="1" ht="15.75">
      <c r="A111" s="14" t="s">
        <v>248</v>
      </c>
      <c r="B111" s="20" t="s">
        <v>249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spans="1:37" customHeight="1" ht="15.75">
      <c r="A112" s="17" t="s">
        <v>250</v>
      </c>
      <c r="B112" s="18" t="s">
        <v>251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6"/>
      <c r="AJ112" s="16"/>
      <c r="AK112" s="16"/>
    </row>
    <row r="113" spans="1:37" customHeight="1" ht="15.75">
      <c r="A113" s="17" t="s">
        <v>252</v>
      </c>
      <c r="B113" s="18" t="s">
        <v>253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6"/>
      <c r="AJ113" s="16"/>
      <c r="AK113" s="16"/>
    </row>
    <row r="114" spans="1:37" customHeight="1" ht="15.75">
      <c r="A114" s="17" t="s">
        <v>254</v>
      </c>
      <c r="B114" s="18" t="s">
        <v>255</v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6"/>
      <c r="AJ114" s="16"/>
      <c r="AK114" s="16"/>
    </row>
    <row r="115" spans="1:37" customHeight="1" ht="15.75">
      <c r="A115" s="17" t="s">
        <v>256</v>
      </c>
      <c r="B115" s="18" t="s">
        <v>257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6"/>
      <c r="AJ115" s="16"/>
      <c r="AK115" s="16"/>
    </row>
    <row r="116" spans="1:37" customHeight="1" ht="15.75">
      <c r="A116" s="14" t="s">
        <v>258</v>
      </c>
      <c r="B116" s="20" t="s">
        <v>259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spans="1:37" customHeight="1" ht="15.75">
      <c r="A117" s="17" t="s">
        <v>260</v>
      </c>
      <c r="B117" s="18" t="s">
        <v>261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6"/>
      <c r="AJ117" s="16"/>
      <c r="AK117" s="16"/>
    </row>
    <row r="118" spans="1:37" customHeight="1" ht="15.75">
      <c r="A118" s="17" t="s">
        <v>262</v>
      </c>
      <c r="B118" s="18" t="s">
        <v>263</v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6"/>
      <c r="AJ118" s="16"/>
      <c r="AK118" s="16"/>
    </row>
    <row r="119" spans="1:37" customHeight="1" ht="15.75">
      <c r="A119" s="17" t="s">
        <v>264</v>
      </c>
      <c r="B119" s="18" t="s">
        <v>265</v>
      </c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6"/>
      <c r="AJ119" s="16"/>
      <c r="AK119" s="16"/>
    </row>
    <row r="120" spans="1:37" customHeight="1" ht="15.75">
      <c r="A120" s="17" t="s">
        <v>266</v>
      </c>
      <c r="B120" s="18" t="s">
        <v>267</v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6"/>
      <c r="AJ120" s="16"/>
      <c r="AK120" s="16"/>
    </row>
    <row r="121" spans="1:37" customHeight="1" ht="15.75">
      <c r="A121" s="17" t="s">
        <v>268</v>
      </c>
      <c r="B121" s="18" t="s">
        <v>269</v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6"/>
      <c r="AJ121" s="16"/>
      <c r="AK121" s="16"/>
    </row>
    <row r="122" spans="1:37" customHeight="1" ht="15.75">
      <c r="A122" s="17" t="s">
        <v>270</v>
      </c>
      <c r="B122" s="18" t="s">
        <v>271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6"/>
      <c r="AJ122" s="16"/>
      <c r="AK122" s="16"/>
    </row>
    <row r="123" spans="1:37" customHeight="1" ht="15.75">
      <c r="A123" s="17" t="s">
        <v>272</v>
      </c>
      <c r="B123" s="18" t="s">
        <v>273</v>
      </c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6"/>
      <c r="AJ123" s="16"/>
      <c r="AK123" s="16"/>
    </row>
    <row r="124" spans="1:37" customHeight="1" ht="15.75">
      <c r="A124" s="17" t="s">
        <v>274</v>
      </c>
      <c r="B124" s="18" t="s">
        <v>275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6"/>
      <c r="AJ124" s="16"/>
      <c r="AK124" s="16"/>
    </row>
    <row r="125" spans="1:37" customHeight="1" ht="15.75">
      <c r="A125" s="17" t="s">
        <v>276</v>
      </c>
      <c r="B125" s="18" t="s">
        <v>277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6"/>
      <c r="AJ125" s="16"/>
      <c r="AK125" s="16"/>
    </row>
    <row r="126" spans="1:37" customHeight="1" ht="15.75">
      <c r="A126" s="17" t="s">
        <v>278</v>
      </c>
      <c r="B126" s="18" t="s">
        <v>279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6"/>
      <c r="AJ126" s="16"/>
      <c r="AK126" s="16"/>
    </row>
    <row r="127" spans="1:37" customHeight="1" ht="15.75">
      <c r="A127" s="17" t="s">
        <v>280</v>
      </c>
      <c r="B127" s="18" t="s">
        <v>281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6"/>
      <c r="AJ127" s="16"/>
      <c r="AK127" s="16"/>
    </row>
    <row r="128" spans="1:37" customHeight="1" ht="15.75">
      <c r="A128" s="14" t="s">
        <v>282</v>
      </c>
      <c r="B128" s="20" t="s">
        <v>283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spans="1:37" customHeight="1" ht="15.75">
      <c r="A129" s="17" t="s">
        <v>284</v>
      </c>
      <c r="B129" s="18" t="s">
        <v>285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6"/>
      <c r="AJ129" s="16"/>
      <c r="AK129" s="16"/>
    </row>
    <row r="130" spans="1:37" customHeight="1" ht="15.75">
      <c r="A130" s="17" t="s">
        <v>286</v>
      </c>
      <c r="B130" s="18" t="s">
        <v>287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6"/>
      <c r="AJ130" s="16"/>
      <c r="AK130" s="16"/>
    </row>
    <row r="131" spans="1:37" customHeight="1" ht="15.75">
      <c r="A131" s="17" t="s">
        <v>288</v>
      </c>
      <c r="B131" s="18" t="s">
        <v>289</v>
      </c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6"/>
      <c r="AJ131" s="16"/>
      <c r="AK131" s="16"/>
    </row>
    <row r="132" spans="1:37" customHeight="1" ht="15.75">
      <c r="A132" s="17" t="s">
        <v>290</v>
      </c>
      <c r="B132" s="18" t="s">
        <v>291</v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6"/>
      <c r="AJ132" s="16"/>
      <c r="AK132" s="16"/>
    </row>
    <row r="133" spans="1:37" customHeight="1" ht="15.75">
      <c r="A133" s="17" t="s">
        <v>292</v>
      </c>
      <c r="B133" s="18" t="s">
        <v>293</v>
      </c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6"/>
      <c r="AJ133" s="16"/>
      <c r="AK133" s="16"/>
    </row>
    <row r="134" spans="1:37" customHeight="1" ht="15.75">
      <c r="A134" s="17" t="s">
        <v>294</v>
      </c>
      <c r="B134" s="18" t="s">
        <v>295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6"/>
      <c r="AJ134" s="16"/>
      <c r="AK134" s="16"/>
    </row>
    <row r="135" spans="1:37" customHeight="1" ht="15.75">
      <c r="A135" s="17" t="s">
        <v>296</v>
      </c>
      <c r="B135" s="18" t="s">
        <v>297</v>
      </c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6"/>
      <c r="AJ135" s="16"/>
      <c r="AK135" s="16"/>
    </row>
    <row r="136" spans="1:37" customHeight="1" ht="15.75">
      <c r="A136" s="17" t="s">
        <v>298</v>
      </c>
      <c r="B136" s="18" t="s">
        <v>299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6"/>
      <c r="AJ136" s="16"/>
      <c r="AK136" s="16"/>
    </row>
    <row r="137" spans="1:37" customHeight="1" ht="15.75">
      <c r="A137" s="14" t="s">
        <v>300</v>
      </c>
      <c r="B137" s="20" t="s">
        <v>301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spans="1:37" customHeight="1" ht="15.75">
      <c r="A138" s="17" t="s">
        <v>302</v>
      </c>
      <c r="B138" s="18" t="s">
        <v>303</v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6"/>
      <c r="AJ138" s="16"/>
      <c r="AK138" s="16"/>
    </row>
    <row r="139" spans="1:37" customHeight="1" ht="15.75">
      <c r="A139" s="17" t="s">
        <v>304</v>
      </c>
      <c r="B139" s="18" t="s">
        <v>305</v>
      </c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6"/>
      <c r="AJ139" s="16"/>
      <c r="AK139" s="16"/>
    </row>
    <row r="140" spans="1:37" customHeight="1" ht="15.75">
      <c r="A140" s="17" t="s">
        <v>306</v>
      </c>
      <c r="B140" s="18" t="s">
        <v>307</v>
      </c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6"/>
      <c r="AJ140" s="16"/>
      <c r="AK140" s="16"/>
    </row>
    <row r="141" spans="1:37" customHeight="1" ht="15.75">
      <c r="A141" s="17" t="s">
        <v>308</v>
      </c>
      <c r="B141" s="18" t="s">
        <v>309</v>
      </c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6"/>
      <c r="AJ141" s="16"/>
      <c r="AK141" s="16"/>
    </row>
    <row r="142" spans="1:37" customHeight="1" ht="15.75">
      <c r="A142" s="17" t="s">
        <v>310</v>
      </c>
      <c r="B142" s="18" t="s">
        <v>311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6"/>
      <c r="AJ142" s="16"/>
      <c r="AK142" s="16"/>
    </row>
    <row r="143" spans="1:37" customHeight="1" ht="15.75">
      <c r="A143" s="17" t="s">
        <v>312</v>
      </c>
      <c r="B143" s="18" t="s">
        <v>313</v>
      </c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6"/>
      <c r="AJ143" s="16"/>
      <c r="AK143" s="16"/>
    </row>
    <row r="144" spans="1:37" customHeight="1" ht="15.75">
      <c r="A144" s="17" t="s">
        <v>314</v>
      </c>
      <c r="B144" s="18" t="s">
        <v>315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6"/>
      <c r="AJ144" s="16"/>
      <c r="AK144" s="16"/>
    </row>
    <row r="145" spans="1:37" customHeight="1" ht="15.75">
      <c r="A145" s="17" t="s">
        <v>316</v>
      </c>
      <c r="B145" s="18" t="s">
        <v>317</v>
      </c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6"/>
      <c r="AJ145" s="16"/>
      <c r="AK145" s="16"/>
    </row>
    <row r="146" spans="1:37" customHeight="1" ht="15.75">
      <c r="A146" s="17" t="s">
        <v>318</v>
      </c>
      <c r="B146" s="18" t="s">
        <v>319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6"/>
      <c r="AJ146" s="16"/>
      <c r="AK146" s="16"/>
    </row>
    <row r="147" spans="1:37" customHeight="1" ht="15.75">
      <c r="A147" s="17" t="s">
        <v>320</v>
      </c>
      <c r="B147" s="18" t="s">
        <v>321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6"/>
      <c r="AJ147" s="16"/>
      <c r="AK147" s="16"/>
    </row>
    <row r="148" spans="1:37" customHeight="1" ht="15.75">
      <c r="A148" s="14" t="s">
        <v>322</v>
      </c>
      <c r="B148" s="20" t="s">
        <v>323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spans="1:37" customHeight="1" ht="15.75">
      <c r="A149" s="17" t="s">
        <v>324</v>
      </c>
      <c r="B149" s="18" t="s">
        <v>325</v>
      </c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6"/>
      <c r="AJ149" s="16"/>
      <c r="AK149" s="16"/>
    </row>
    <row r="150" spans="1:37" customHeight="1" ht="15.75">
      <c r="A150" s="17" t="s">
        <v>326</v>
      </c>
      <c r="B150" s="18" t="s">
        <v>327</v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6"/>
      <c r="AJ150" s="16"/>
      <c r="AK150" s="16"/>
    </row>
    <row r="151" spans="1:37" customHeight="1" ht="15.75">
      <c r="A151" s="17" t="s">
        <v>328</v>
      </c>
      <c r="B151" s="18" t="s">
        <v>329</v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6"/>
      <c r="AJ151" s="16"/>
      <c r="AK151" s="16"/>
    </row>
    <row r="152" spans="1:37" customHeight="1" ht="15.75">
      <c r="A152" s="17" t="s">
        <v>330</v>
      </c>
      <c r="B152" s="18" t="s">
        <v>331</v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6"/>
      <c r="AJ152" s="16"/>
      <c r="AK152" s="16"/>
    </row>
    <row r="153" spans="1:37" customHeight="1" ht="15.75">
      <c r="A153" s="17" t="s">
        <v>332</v>
      </c>
      <c r="B153" s="18" t="s">
        <v>333</v>
      </c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6"/>
      <c r="AJ153" s="16"/>
      <c r="AK153" s="16"/>
    </row>
    <row r="154" spans="1:37" customHeight="1" ht="15.75">
      <c r="A154" s="17" t="s">
        <v>334</v>
      </c>
      <c r="B154" s="18" t="s">
        <v>335</v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6"/>
      <c r="AJ154" s="16"/>
      <c r="AK154" s="16"/>
    </row>
    <row r="155" spans="1:37" customHeight="1" ht="15.75">
      <c r="A155" s="17" t="s">
        <v>336</v>
      </c>
      <c r="B155" s="18" t="s">
        <v>337</v>
      </c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6"/>
      <c r="AJ155" s="16"/>
      <c r="AK155" s="16"/>
    </row>
    <row r="156" spans="1:37" customHeight="1" ht="15.75">
      <c r="A156" s="17" t="s">
        <v>338</v>
      </c>
      <c r="B156" s="18" t="s">
        <v>339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6"/>
      <c r="AJ156" s="16"/>
      <c r="AK156" s="16"/>
    </row>
    <row r="157" spans="1:37" customHeight="1" ht="15.75">
      <c r="A157" s="17" t="s">
        <v>340</v>
      </c>
      <c r="B157" s="18" t="s">
        <v>341</v>
      </c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6"/>
      <c r="AJ157" s="16"/>
      <c r="AK157" s="16"/>
    </row>
    <row r="158" spans="1:37" customHeight="1" ht="15.75">
      <c r="A158" s="17" t="s">
        <v>342</v>
      </c>
      <c r="B158" s="18" t="s">
        <v>343</v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6"/>
      <c r="AJ158" s="16"/>
      <c r="AK158" s="16"/>
    </row>
    <row r="159" spans="1:37" customHeight="1" ht="15.75">
      <c r="A159" s="14" t="s">
        <v>344</v>
      </c>
      <c r="B159" s="20" t="s">
        <v>345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spans="1:37" customHeight="1" ht="15.75">
      <c r="A160" s="17" t="s">
        <v>346</v>
      </c>
      <c r="B160" s="18" t="s">
        <v>347</v>
      </c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6"/>
      <c r="AJ160" s="16"/>
      <c r="AK160" s="16"/>
    </row>
    <row r="161" spans="1:37" customHeight="1" ht="15.75">
      <c r="A161" s="17" t="s">
        <v>348</v>
      </c>
      <c r="B161" s="18" t="s">
        <v>349</v>
      </c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6"/>
      <c r="AJ161" s="16"/>
      <c r="AK161" s="16"/>
    </row>
    <row r="162" spans="1:37" customHeight="1" ht="15.75">
      <c r="A162" s="17" t="s">
        <v>350</v>
      </c>
      <c r="B162" s="18" t="s">
        <v>351</v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6"/>
      <c r="AJ162" s="16"/>
      <c r="AK162" s="16"/>
    </row>
    <row r="163" spans="1:37" customHeight="1" ht="15.75">
      <c r="A163" s="14" t="s">
        <v>352</v>
      </c>
      <c r="B163" s="20" t="s">
        <v>353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spans="1:37" customHeight="1" ht="15.75">
      <c r="A164" s="17" t="s">
        <v>354</v>
      </c>
      <c r="B164" s="18" t="s">
        <v>355</v>
      </c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6"/>
      <c r="AJ164" s="16"/>
      <c r="AK164" s="16"/>
    </row>
    <row r="165" spans="1:37" customHeight="1" ht="15.75">
      <c r="A165" s="17" t="s">
        <v>356</v>
      </c>
      <c r="B165" s="18" t="s">
        <v>357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6"/>
      <c r="AJ165" s="16"/>
      <c r="AK165" s="16"/>
    </row>
    <row r="166" spans="1:37" customHeight="1" ht="15.75">
      <c r="A166" s="17" t="s">
        <v>358</v>
      </c>
      <c r="B166" s="18" t="s">
        <v>359</v>
      </c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6"/>
      <c r="AJ166" s="16"/>
      <c r="AK166" s="16"/>
    </row>
    <row r="167" spans="1:37" customHeight="1" ht="15.75">
      <c r="A167" s="17" t="s">
        <v>360</v>
      </c>
      <c r="B167" s="18" t="s">
        <v>361</v>
      </c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6"/>
      <c r="AJ167" s="16"/>
      <c r="AK167" s="16"/>
    </row>
    <row r="168" spans="1:37" customHeight="1" ht="15.75">
      <c r="A168" s="17" t="s">
        <v>362</v>
      </c>
      <c r="B168" s="18" t="s">
        <v>363</v>
      </c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6"/>
      <c r="AJ168" s="16"/>
      <c r="AK168" s="16"/>
    </row>
    <row r="169" spans="1:37" customHeight="1" ht="15.75">
      <c r="A169" s="17" t="s">
        <v>364</v>
      </c>
      <c r="B169" s="18" t="s">
        <v>365</v>
      </c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6"/>
      <c r="AJ169" s="16"/>
      <c r="AK169" s="16"/>
    </row>
    <row r="170" spans="1:37" customHeight="1" ht="15.75">
      <c r="A170" s="17" t="s">
        <v>366</v>
      </c>
      <c r="B170" s="18" t="s">
        <v>367</v>
      </c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6"/>
      <c r="AJ170" s="16"/>
      <c r="AK170" s="16"/>
    </row>
    <row r="171" spans="1:37" customHeight="1" ht="15.75">
      <c r="A171" s="17" t="s">
        <v>368</v>
      </c>
      <c r="B171" s="18" t="s">
        <v>369</v>
      </c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6"/>
      <c r="AJ171" s="16"/>
      <c r="AK171" s="16"/>
    </row>
    <row r="172" spans="1:37" customHeight="1" ht="15.75">
      <c r="A172" s="17" t="s">
        <v>370</v>
      </c>
      <c r="B172" s="18" t="s">
        <v>371</v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6"/>
      <c r="AJ172" s="16"/>
      <c r="AK172" s="16"/>
    </row>
    <row r="173" spans="1:37" customHeight="1" ht="15.75">
      <c r="A173" s="17" t="s">
        <v>372</v>
      </c>
      <c r="B173" s="18" t="s">
        <v>373</v>
      </c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6"/>
      <c r="AJ173" s="16"/>
      <c r="AK173" s="16"/>
    </row>
    <row r="174" spans="1:37" customHeight="1" ht="15.75">
      <c r="A174" s="17" t="s">
        <v>374</v>
      </c>
      <c r="B174" s="18" t="s">
        <v>375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6"/>
      <c r="AJ174" s="16"/>
      <c r="AK174" s="16"/>
    </row>
    <row r="175" spans="1:37" customHeight="1" ht="15.75">
      <c r="A175" s="17" t="s">
        <v>376</v>
      </c>
      <c r="B175" s="18" t="s">
        <v>377</v>
      </c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6"/>
      <c r="AJ175" s="16"/>
      <c r="AK175" s="16"/>
    </row>
    <row r="176" spans="1:37" customHeight="1" ht="15.75">
      <c r="A176" s="17" t="s">
        <v>378</v>
      </c>
      <c r="B176" s="18" t="s">
        <v>379</v>
      </c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6"/>
      <c r="AJ176" s="16"/>
      <c r="AK176" s="16"/>
    </row>
    <row r="177" spans="1:37" customHeight="1" ht="15.75">
      <c r="A177" s="17" t="s">
        <v>380</v>
      </c>
      <c r="B177" s="18" t="s">
        <v>381</v>
      </c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6"/>
      <c r="AJ177" s="16"/>
      <c r="AK177" s="16"/>
    </row>
    <row r="178" spans="1:37" customHeight="1" ht="15.75">
      <c r="A178" s="17" t="s">
        <v>382</v>
      </c>
      <c r="B178" s="18" t="s">
        <v>383</v>
      </c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6"/>
      <c r="AJ178" s="16"/>
      <c r="AK178" s="16"/>
    </row>
    <row r="179" spans="1:37" customHeight="1" ht="15.75">
      <c r="A179" s="17" t="s">
        <v>384</v>
      </c>
      <c r="B179" s="18" t="s">
        <v>385</v>
      </c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6"/>
      <c r="AJ179" s="16"/>
      <c r="AK179" s="16"/>
    </row>
    <row r="180" spans="1:37" customHeight="1" ht="15.75">
      <c r="A180" s="17" t="s">
        <v>386</v>
      </c>
      <c r="B180" s="18" t="s">
        <v>387</v>
      </c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6"/>
      <c r="AJ180" s="16"/>
      <c r="AK180" s="16"/>
    </row>
    <row r="181" spans="1:37" customHeight="1" ht="15.75">
      <c r="A181" s="17" t="s">
        <v>388</v>
      </c>
      <c r="B181" s="18" t="s">
        <v>389</v>
      </c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6"/>
      <c r="AJ181" s="16"/>
      <c r="AK181" s="16"/>
    </row>
    <row r="182" spans="1:37" customHeight="1" ht="15.75">
      <c r="A182" s="17" t="s">
        <v>390</v>
      </c>
      <c r="B182" s="18" t="s">
        <v>391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6"/>
      <c r="AJ182" s="16"/>
      <c r="AK182" s="16"/>
    </row>
    <row r="183" spans="1:37" customHeight="1" ht="15.75">
      <c r="A183" s="17" t="s">
        <v>392</v>
      </c>
      <c r="B183" s="18" t="s">
        <v>393</v>
      </c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6"/>
      <c r="AJ183" s="16"/>
      <c r="AK183" s="16"/>
    </row>
    <row r="184" spans="1:37" customHeight="1" ht="15.75">
      <c r="A184" s="17" t="s">
        <v>394</v>
      </c>
      <c r="B184" s="18" t="s">
        <v>395</v>
      </c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6"/>
      <c r="AJ184" s="16"/>
      <c r="AK184" s="16"/>
    </row>
    <row r="185" spans="1:37" customHeight="1" ht="15.75">
      <c r="A185" s="14" t="s">
        <v>396</v>
      </c>
      <c r="B185" s="20" t="s">
        <v>397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spans="1:37" customHeight="1" ht="15.75">
      <c r="A186" s="17" t="s">
        <v>398</v>
      </c>
      <c r="B186" s="18" t="s">
        <v>399</v>
      </c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6"/>
      <c r="AJ186" s="16"/>
      <c r="AK186" s="16"/>
    </row>
    <row r="187" spans="1:37" customHeight="1" ht="15.75">
      <c r="A187" s="17" t="s">
        <v>400</v>
      </c>
      <c r="B187" s="18" t="s">
        <v>401</v>
      </c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6"/>
      <c r="AJ187" s="16"/>
      <c r="AK187" s="16"/>
    </row>
    <row r="188" spans="1:37" customHeight="1" ht="15.75">
      <c r="A188" s="17" t="s">
        <v>402</v>
      </c>
      <c r="B188" s="18" t="s">
        <v>403</v>
      </c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6"/>
      <c r="AJ188" s="16"/>
      <c r="AK188" s="16"/>
    </row>
    <row r="189" spans="1:37" customHeight="1" ht="15.75">
      <c r="A189" s="17" t="s">
        <v>404</v>
      </c>
      <c r="B189" s="18" t="s">
        <v>405</v>
      </c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6"/>
      <c r="AJ189" s="16"/>
      <c r="AK189" s="16"/>
    </row>
    <row r="190" spans="1:37" customHeight="1" ht="15.75">
      <c r="A190" s="17" t="s">
        <v>406</v>
      </c>
      <c r="B190" s="18" t="s">
        <v>407</v>
      </c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6"/>
      <c r="AJ190" s="16"/>
      <c r="AK190" s="16"/>
    </row>
    <row r="191" spans="1:37" customHeight="1" ht="15.75">
      <c r="A191" s="17" t="s">
        <v>408</v>
      </c>
      <c r="B191" s="18" t="s">
        <v>409</v>
      </c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6"/>
      <c r="AJ191" s="16"/>
      <c r="AK191" s="16"/>
    </row>
    <row r="192" spans="1:37" customHeight="1" ht="15.75">
      <c r="A192" s="17" t="s">
        <v>410</v>
      </c>
      <c r="B192" s="18" t="s">
        <v>411</v>
      </c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6"/>
      <c r="AJ192" s="16"/>
      <c r="AK192" s="16"/>
    </row>
    <row r="193" spans="1:37" customHeight="1" ht="15.75">
      <c r="A193" s="17" t="s">
        <v>412</v>
      </c>
      <c r="B193" s="18" t="s">
        <v>413</v>
      </c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6"/>
      <c r="AJ193" s="16"/>
      <c r="AK193" s="16"/>
    </row>
    <row r="194" spans="1:37" customHeight="1" ht="15.75">
      <c r="A194" s="17" t="s">
        <v>414</v>
      </c>
      <c r="B194" s="18" t="s">
        <v>415</v>
      </c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6"/>
      <c r="AJ194" s="16"/>
      <c r="AK194" s="16"/>
    </row>
    <row r="195" spans="1:37" customHeight="1" ht="15.75">
      <c r="A195" s="17" t="s">
        <v>416</v>
      </c>
      <c r="B195" s="18" t="s">
        <v>417</v>
      </c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6"/>
      <c r="AJ195" s="16"/>
      <c r="AK195" s="16"/>
    </row>
    <row r="196" spans="1:37" customHeight="1" ht="15.75">
      <c r="A196" s="17" t="s">
        <v>418</v>
      </c>
      <c r="B196" s="18" t="s">
        <v>419</v>
      </c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6"/>
      <c r="AJ196" s="16"/>
      <c r="AK196" s="16"/>
    </row>
    <row r="197" spans="1:37" customHeight="1" ht="15.75">
      <c r="A197" s="17" t="s">
        <v>420</v>
      </c>
      <c r="B197" s="18" t="s">
        <v>421</v>
      </c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6"/>
      <c r="AJ197" s="16"/>
      <c r="AK197" s="16"/>
    </row>
    <row r="198" spans="1:37" customHeight="1" ht="15.75">
      <c r="A198" s="17" t="s">
        <v>422</v>
      </c>
      <c r="B198" s="18" t="s">
        <v>423</v>
      </c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6"/>
      <c r="AJ198" s="16"/>
      <c r="AK198" s="16"/>
    </row>
    <row r="199" spans="1:37" customHeight="1" ht="15.75">
      <c r="A199" s="17" t="s">
        <v>424</v>
      </c>
      <c r="B199" s="18" t="s">
        <v>425</v>
      </c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6"/>
      <c r="AJ199" s="16"/>
      <c r="AK199" s="16"/>
    </row>
    <row r="200" spans="1:37" customHeight="1" ht="15.75">
      <c r="A200" s="17" t="s">
        <v>426</v>
      </c>
      <c r="B200" s="18" t="s">
        <v>427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6"/>
      <c r="AJ200" s="16"/>
      <c r="AK200" s="16"/>
    </row>
    <row r="201" spans="1:37" customHeight="1" ht="15.75">
      <c r="A201" s="14" t="s">
        <v>428</v>
      </c>
      <c r="B201" s="20" t="s">
        <v>429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1:37" customHeight="1" ht="15.75">
      <c r="A202" s="17" t="s">
        <v>430</v>
      </c>
      <c r="B202" s="18" t="s">
        <v>431</v>
      </c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6"/>
      <c r="AJ202" s="16"/>
      <c r="AK202" s="16"/>
    </row>
    <row r="203" spans="1:37" customHeight="1" ht="15.75">
      <c r="A203" s="17" t="s">
        <v>432</v>
      </c>
      <c r="B203" s="18" t="s">
        <v>433</v>
      </c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6"/>
      <c r="AJ203" s="16"/>
      <c r="AK203" s="16"/>
    </row>
    <row r="204" spans="1:37" customHeight="1" ht="15.75">
      <c r="A204" s="17" t="s">
        <v>434</v>
      </c>
      <c r="B204" s="18" t="s">
        <v>435</v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6"/>
      <c r="AJ204" s="16"/>
      <c r="AK204" s="16"/>
    </row>
    <row r="205" spans="1:37" customHeight="1" ht="15.75">
      <c r="A205" s="17" t="s">
        <v>436</v>
      </c>
      <c r="B205" s="18" t="s">
        <v>437</v>
      </c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6"/>
      <c r="AJ205" s="16"/>
      <c r="AK205" s="16"/>
    </row>
    <row r="206" spans="1:37" customHeight="1" ht="15.75">
      <c r="A206" s="17" t="s">
        <v>438</v>
      </c>
      <c r="B206" s="18" t="s">
        <v>439</v>
      </c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6"/>
      <c r="AJ206" s="16"/>
      <c r="AK206" s="16"/>
    </row>
    <row r="207" spans="1:37" customHeight="1" ht="15.75">
      <c r="A207" s="17" t="s">
        <v>440</v>
      </c>
      <c r="B207" s="18" t="s">
        <v>441</v>
      </c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6"/>
      <c r="AJ207" s="16"/>
      <c r="AK207" s="16"/>
    </row>
    <row r="208" spans="1:37" customHeight="1" ht="15.75">
      <c r="A208" s="17" t="s">
        <v>442</v>
      </c>
      <c r="B208" s="18" t="s">
        <v>443</v>
      </c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6"/>
      <c r="AJ208" s="16"/>
      <c r="AK208" s="16"/>
    </row>
    <row r="209" spans="1:37" customHeight="1" ht="15.75">
      <c r="A209" s="17" t="s">
        <v>444</v>
      </c>
      <c r="B209" s="18" t="s">
        <v>445</v>
      </c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6"/>
      <c r="AJ209" s="16"/>
      <c r="AK209" s="16"/>
    </row>
    <row r="210" spans="1:37" customHeight="1" ht="15.75">
      <c r="A210" s="17" t="s">
        <v>446</v>
      </c>
      <c r="B210" s="18" t="s">
        <v>447</v>
      </c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6"/>
      <c r="AJ210" s="16"/>
      <c r="AK210" s="16"/>
    </row>
    <row r="211" spans="1:37" customHeight="1" ht="15.75">
      <c r="A211" s="17" t="s">
        <v>448</v>
      </c>
      <c r="B211" s="18" t="s">
        <v>449</v>
      </c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6"/>
      <c r="AJ211" s="16"/>
      <c r="AK211" s="16"/>
    </row>
    <row r="212" spans="1:37" customHeight="1" ht="15.75">
      <c r="A212" s="17" t="s">
        <v>450</v>
      </c>
      <c r="B212" s="18" t="s">
        <v>451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6"/>
      <c r="AJ212" s="16"/>
      <c r="AK212" s="16"/>
    </row>
    <row r="213" spans="1:37" customHeight="1" ht="15.75">
      <c r="A213" s="17" t="s">
        <v>452</v>
      </c>
      <c r="B213" s="18" t="s">
        <v>453</v>
      </c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6"/>
      <c r="AJ213" s="16"/>
      <c r="AK213" s="16"/>
    </row>
    <row r="214" spans="1:37" customHeight="1" ht="15.75">
      <c r="A214" s="17" t="s">
        <v>454</v>
      </c>
      <c r="B214" s="18" t="s">
        <v>455</v>
      </c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6"/>
      <c r="AJ214" s="16"/>
      <c r="AK214" s="16"/>
    </row>
    <row r="215" spans="1:37" customHeight="1" ht="15.75">
      <c r="A215" s="17" t="s">
        <v>456</v>
      </c>
      <c r="B215" s="18" t="s">
        <v>457</v>
      </c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6"/>
      <c r="AJ215" s="16"/>
      <c r="AK215" s="16"/>
    </row>
    <row r="216" spans="1:37" customHeight="1" ht="15.75">
      <c r="A216" s="17" t="s">
        <v>458</v>
      </c>
      <c r="B216" s="18" t="s">
        <v>459</v>
      </c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6"/>
      <c r="AJ216" s="16"/>
      <c r="AK216" s="16"/>
    </row>
    <row r="217" spans="1:37" customHeight="1" ht="15.75">
      <c r="A217" s="17" t="s">
        <v>460</v>
      </c>
      <c r="B217" s="18" t="s">
        <v>461</v>
      </c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6"/>
      <c r="AJ217" s="16"/>
      <c r="AK217" s="16"/>
    </row>
    <row r="218" spans="1:37" customHeight="1" ht="15.75">
      <c r="A218" s="17" t="s">
        <v>462</v>
      </c>
      <c r="B218" s="18" t="s">
        <v>463</v>
      </c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6"/>
      <c r="AJ218" s="16"/>
      <c r="AK218" s="16"/>
    </row>
    <row r="219" spans="1:37" customHeight="1" ht="15.75">
      <c r="A219" s="17" t="s">
        <v>464</v>
      </c>
      <c r="B219" s="18" t="s">
        <v>465</v>
      </c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6"/>
      <c r="AJ219" s="16"/>
      <c r="AK219" s="16"/>
    </row>
    <row r="220" spans="1:37" customHeight="1" ht="15.75">
      <c r="A220" s="17" t="s">
        <v>466</v>
      </c>
      <c r="B220" s="18" t="s">
        <v>467</v>
      </c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6"/>
      <c r="AJ220" s="16"/>
      <c r="AK220" s="16"/>
    </row>
    <row r="221" spans="1:37" customHeight="1" ht="15.75">
      <c r="A221" s="14" t="s">
        <v>468</v>
      </c>
      <c r="B221" s="20" t="s">
        <v>469</v>
      </c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1:37" customHeight="1" ht="15.75">
      <c r="A222" s="17" t="s">
        <v>470</v>
      </c>
      <c r="B222" s="18" t="s">
        <v>471</v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6"/>
      <c r="AJ222" s="16"/>
      <c r="AK222" s="16"/>
    </row>
    <row r="223" spans="1:37" customHeight="1" ht="15.75">
      <c r="A223" s="17" t="s">
        <v>472</v>
      </c>
      <c r="B223" s="18" t="s">
        <v>473</v>
      </c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6"/>
      <c r="AJ223" s="16"/>
      <c r="AK223" s="16"/>
    </row>
    <row r="224" spans="1:37" customHeight="1" ht="15.75">
      <c r="A224" s="14" t="s">
        <v>474</v>
      </c>
      <c r="B224" s="20" t="s">
        <v>475</v>
      </c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1:37" customHeight="1" ht="15.75">
      <c r="A225" s="17" t="s">
        <v>476</v>
      </c>
      <c r="B225" s="18" t="s">
        <v>477</v>
      </c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6"/>
      <c r="AJ225" s="16"/>
      <c r="AK225" s="16"/>
    </row>
    <row r="226" spans="1:37" customHeight="1" ht="15.75">
      <c r="A226" s="17" t="s">
        <v>478</v>
      </c>
      <c r="B226" s="18" t="s">
        <v>479</v>
      </c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6"/>
      <c r="AJ226" s="16"/>
      <c r="AK226" s="16"/>
    </row>
    <row r="227" spans="1:37" customHeight="1" ht="15.75">
      <c r="A227" s="17" t="s">
        <v>480</v>
      </c>
      <c r="B227" s="18" t="s">
        <v>481</v>
      </c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6"/>
      <c r="AJ227" s="16"/>
      <c r="AK227" s="16"/>
    </row>
    <row r="228" spans="1:37" customHeight="1" ht="15.75">
      <c r="A228" s="17" t="s">
        <v>482</v>
      </c>
      <c r="B228" s="18" t="s">
        <v>483</v>
      </c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6"/>
      <c r="AJ228" s="16"/>
      <c r="AK228" s="16"/>
    </row>
    <row r="229" spans="1:37" customHeight="1" ht="15.75">
      <c r="A229" s="17" t="s">
        <v>484</v>
      </c>
      <c r="B229" s="18" t="s">
        <v>485</v>
      </c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6"/>
      <c r="AJ229" s="16"/>
      <c r="AK229" s="16"/>
    </row>
    <row r="230" spans="1:37" customHeight="1" ht="15.75">
      <c r="A230" s="17" t="s">
        <v>486</v>
      </c>
      <c r="B230" s="18" t="s">
        <v>487</v>
      </c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6"/>
      <c r="AJ230" s="16"/>
      <c r="AK230" s="16"/>
    </row>
    <row r="231" spans="1:37" customHeight="1" ht="15.75">
      <c r="A231" s="17" t="s">
        <v>488</v>
      </c>
      <c r="B231" s="18" t="s">
        <v>489</v>
      </c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6"/>
      <c r="AJ231" s="16"/>
      <c r="AK231" s="16"/>
    </row>
    <row r="232" spans="1:37" customHeight="1" ht="15.75">
      <c r="A232" s="17" t="s">
        <v>490</v>
      </c>
      <c r="B232" s="18" t="s">
        <v>491</v>
      </c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6"/>
      <c r="AJ232" s="16"/>
      <c r="AK232" s="16"/>
    </row>
    <row r="233" spans="1:37" customHeight="1" ht="15.75">
      <c r="A233" s="17" t="s">
        <v>492</v>
      </c>
      <c r="B233" s="18" t="s">
        <v>493</v>
      </c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6"/>
      <c r="AJ233" s="16"/>
      <c r="AK233" s="16"/>
    </row>
    <row r="234" spans="1:37" customHeight="1" ht="15.75">
      <c r="A234" s="17" t="s">
        <v>494</v>
      </c>
      <c r="B234" s="18" t="s">
        <v>495</v>
      </c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6"/>
      <c r="AJ234" s="16"/>
      <c r="AK234" s="16"/>
    </row>
    <row r="235" spans="1:37" customHeight="1" ht="15.75">
      <c r="A235" s="17" t="s">
        <v>496</v>
      </c>
      <c r="B235" s="18" t="s">
        <v>497</v>
      </c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6"/>
      <c r="AJ235" s="16"/>
      <c r="AK235" s="16"/>
    </row>
    <row r="236" spans="1:37" customHeight="1" ht="15.75">
      <c r="A236" s="14" t="s">
        <v>498</v>
      </c>
      <c r="B236" s="20" t="s">
        <v>499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spans="1:37" customHeight="1" ht="15.75">
      <c r="A237" s="17" t="s">
        <v>500</v>
      </c>
      <c r="B237" s="18" t="s">
        <v>501</v>
      </c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6"/>
      <c r="AJ237" s="16"/>
      <c r="AK237" s="16"/>
    </row>
    <row r="238" spans="1:37" customHeight="1" ht="15.75">
      <c r="A238" s="17" t="s">
        <v>502</v>
      </c>
      <c r="B238" s="18" t="s">
        <v>503</v>
      </c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6"/>
      <c r="AJ238" s="16"/>
      <c r="AK238" s="16"/>
    </row>
    <row r="239" spans="1:37" customHeight="1" ht="15.75">
      <c r="A239" s="17" t="s">
        <v>504</v>
      </c>
      <c r="B239" s="18" t="s">
        <v>505</v>
      </c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6"/>
      <c r="AJ239" s="16"/>
      <c r="AK239" s="16"/>
    </row>
    <row r="240" spans="1:37" customHeight="1" ht="15.75">
      <c r="A240" s="17" t="s">
        <v>506</v>
      </c>
      <c r="B240" s="18" t="s">
        <v>507</v>
      </c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6"/>
      <c r="AJ240" s="16"/>
      <c r="AK240" s="16"/>
    </row>
    <row r="241" spans="1:37" customHeight="1" ht="15.75">
      <c r="A241" s="17" t="s">
        <v>508</v>
      </c>
      <c r="B241" s="18" t="s">
        <v>509</v>
      </c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6"/>
      <c r="AJ241" s="16"/>
      <c r="AK241" s="16"/>
    </row>
    <row r="242" spans="1:37" customHeight="1" ht="15.75">
      <c r="A242" s="17" t="s">
        <v>510</v>
      </c>
      <c r="B242" s="18" t="s">
        <v>511</v>
      </c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6"/>
      <c r="AJ242" s="16"/>
      <c r="AK242" s="16"/>
    </row>
    <row r="243" spans="1:37" customHeight="1" ht="15.75">
      <c r="A243" s="17" t="s">
        <v>512</v>
      </c>
      <c r="B243" s="18" t="s">
        <v>513</v>
      </c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6"/>
      <c r="AJ243" s="16"/>
      <c r="AK243" s="16"/>
    </row>
    <row r="244" spans="1:37" customHeight="1" ht="15.75">
      <c r="A244" s="17" t="s">
        <v>514</v>
      </c>
      <c r="B244" s="18" t="s">
        <v>515</v>
      </c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6"/>
      <c r="AJ244" s="16"/>
      <c r="AK244" s="16"/>
    </row>
    <row r="245" spans="1:37" customHeight="1" ht="15.75">
      <c r="A245" s="17" t="s">
        <v>516</v>
      </c>
      <c r="B245" s="18" t="s">
        <v>517</v>
      </c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6"/>
      <c r="AJ245" s="16"/>
      <c r="AK245" s="16"/>
    </row>
    <row r="246" spans="1:37" customHeight="1" ht="15.75">
      <c r="A246" s="17" t="s">
        <v>518</v>
      </c>
      <c r="B246" s="18" t="s">
        <v>519</v>
      </c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6"/>
      <c r="AJ246" s="16"/>
      <c r="AK246" s="16"/>
    </row>
    <row r="247" spans="1:37" customHeight="1" ht="15.75">
      <c r="A247" s="17" t="s">
        <v>520</v>
      </c>
      <c r="B247" s="18" t="s">
        <v>521</v>
      </c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6"/>
      <c r="AJ247" s="16"/>
      <c r="AK247" s="16"/>
    </row>
    <row r="248" spans="1:37" customHeight="1" ht="15.75">
      <c r="A248" s="17" t="s">
        <v>522</v>
      </c>
      <c r="B248" s="18" t="s">
        <v>523</v>
      </c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6"/>
      <c r="AJ248" s="16"/>
      <c r="AK248" s="16"/>
    </row>
    <row r="249" spans="1:37" customHeight="1" ht="15.75">
      <c r="A249" s="17" t="s">
        <v>524</v>
      </c>
      <c r="B249" s="18" t="s">
        <v>525</v>
      </c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6"/>
      <c r="AJ249" s="16"/>
      <c r="AK249" s="16"/>
    </row>
    <row r="250" spans="1:37" customHeight="1" ht="15.75">
      <c r="A250" s="17" t="s">
        <v>526</v>
      </c>
      <c r="B250" s="18" t="s">
        <v>527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6"/>
      <c r="AJ250" s="16"/>
      <c r="AK250" s="16"/>
    </row>
    <row r="251" spans="1:37" customHeight="1" ht="15.75">
      <c r="A251" s="17" t="s">
        <v>528</v>
      </c>
      <c r="B251" s="18" t="s">
        <v>529</v>
      </c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6"/>
      <c r="AJ251" s="16"/>
      <c r="AK251" s="16"/>
    </row>
    <row r="252" spans="1:37" customHeight="1" ht="15.75">
      <c r="A252" s="17" t="s">
        <v>530</v>
      </c>
      <c r="B252" s="18" t="s">
        <v>531</v>
      </c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6"/>
      <c r="AJ252" s="16"/>
      <c r="AK252" s="16"/>
    </row>
    <row r="253" spans="1:37" customHeight="1" ht="15.75">
      <c r="A253" s="17" t="s">
        <v>532</v>
      </c>
      <c r="B253" s="18" t="s">
        <v>533</v>
      </c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6"/>
      <c r="AJ253" s="16"/>
      <c r="AK253" s="16"/>
    </row>
    <row r="254" spans="1:37" customHeight="1" ht="15.75">
      <c r="A254" s="17" t="s">
        <v>534</v>
      </c>
      <c r="B254" s="18" t="s">
        <v>535</v>
      </c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6"/>
      <c r="AJ254" s="16"/>
      <c r="AK254" s="16"/>
    </row>
    <row r="255" spans="1:37" customHeight="1" ht="15.75">
      <c r="A255" s="17" t="s">
        <v>536</v>
      </c>
      <c r="B255" s="18" t="s">
        <v>537</v>
      </c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6"/>
      <c r="AJ255" s="16"/>
      <c r="AK255" s="16"/>
    </row>
    <row r="256" spans="1:37" customHeight="1" ht="15.75">
      <c r="A256" s="17" t="s">
        <v>538</v>
      </c>
      <c r="B256" s="18" t="s">
        <v>539</v>
      </c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6"/>
      <c r="AJ256" s="16"/>
      <c r="AK256" s="16"/>
    </row>
    <row r="257" spans="1:37" customHeight="1" ht="15.75">
      <c r="A257" s="17" t="s">
        <v>540</v>
      </c>
      <c r="B257" s="18" t="s">
        <v>541</v>
      </c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6"/>
      <c r="AJ257" s="16"/>
      <c r="AK257" s="16"/>
    </row>
    <row r="258" spans="1:37" customHeight="1" ht="15.75">
      <c r="A258" s="17" t="s">
        <v>542</v>
      </c>
      <c r="B258" s="18" t="s">
        <v>543</v>
      </c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6"/>
      <c r="AJ258" s="16"/>
      <c r="AK258" s="16"/>
    </row>
    <row r="259" spans="1:37" customHeight="1" ht="15.75">
      <c r="A259" s="17" t="s">
        <v>544</v>
      </c>
      <c r="B259" s="18" t="s">
        <v>545</v>
      </c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6"/>
      <c r="AJ259" s="16"/>
      <c r="AK259" s="16"/>
    </row>
    <row r="260" spans="1:37" customHeight="1" ht="15.75">
      <c r="A260" s="14" t="s">
        <v>546</v>
      </c>
      <c r="B260" s="20" t="s">
        <v>547</v>
      </c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spans="1:37" customHeight="1" ht="15.75">
      <c r="A261" s="17" t="s">
        <v>548</v>
      </c>
      <c r="B261" s="18" t="s">
        <v>549</v>
      </c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6"/>
      <c r="AJ261" s="16"/>
      <c r="AK261" s="16"/>
    </row>
    <row r="262" spans="1:37" customHeight="1" ht="15.75">
      <c r="A262" s="17" t="s">
        <v>550</v>
      </c>
      <c r="B262" s="18" t="s">
        <v>551</v>
      </c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6"/>
      <c r="AJ262" s="16"/>
      <c r="AK262" s="16"/>
    </row>
    <row r="263" spans="1:37" customHeight="1" ht="15.75">
      <c r="A263" s="17" t="s">
        <v>552</v>
      </c>
      <c r="B263" s="18" t="s">
        <v>553</v>
      </c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6"/>
      <c r="AJ263" s="16"/>
      <c r="AK263" s="16"/>
    </row>
    <row r="264" spans="1:37" customHeight="1" ht="15.75">
      <c r="A264" s="17" t="s">
        <v>554</v>
      </c>
      <c r="B264" s="18" t="s">
        <v>555</v>
      </c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6"/>
      <c r="AJ264" s="16"/>
      <c r="AK264" s="16"/>
    </row>
    <row r="265" spans="1:37" customHeight="1" ht="15.75">
      <c r="A265" s="17" t="s">
        <v>556</v>
      </c>
      <c r="B265" s="18" t="s">
        <v>557</v>
      </c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6"/>
      <c r="AJ265" s="16"/>
      <c r="AK265" s="16"/>
    </row>
    <row r="266" spans="1:37" customHeight="1" ht="15.75">
      <c r="A266" s="17" t="s">
        <v>558</v>
      </c>
      <c r="B266" s="18" t="s">
        <v>559</v>
      </c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6"/>
      <c r="AJ266" s="16"/>
      <c r="AK266" s="16"/>
    </row>
    <row r="267" spans="1:37" customHeight="1" ht="15.75">
      <c r="A267" s="17" t="s">
        <v>560</v>
      </c>
      <c r="B267" s="18" t="s">
        <v>561</v>
      </c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6"/>
      <c r="AJ267" s="16"/>
      <c r="AK267" s="16"/>
    </row>
    <row r="268" spans="1:37" customHeight="1" ht="15.75">
      <c r="A268" s="17" t="s">
        <v>562</v>
      </c>
      <c r="B268" s="18" t="s">
        <v>563</v>
      </c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6"/>
      <c r="AJ268" s="16"/>
      <c r="AK268" s="16"/>
    </row>
    <row r="269" spans="1:37" customHeight="1" ht="15.75">
      <c r="A269" s="17" t="s">
        <v>564</v>
      </c>
      <c r="B269" s="18" t="s">
        <v>565</v>
      </c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6"/>
      <c r="AJ269" s="16"/>
      <c r="AK269" s="16"/>
    </row>
    <row r="270" spans="1:37" customHeight="1" ht="15.75">
      <c r="A270" s="17" t="s">
        <v>566</v>
      </c>
      <c r="B270" s="18" t="s">
        <v>567</v>
      </c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6"/>
      <c r="AJ270" s="16"/>
      <c r="AK270" s="16"/>
    </row>
    <row r="271" spans="1:37" customHeight="1" ht="15.75">
      <c r="A271" s="17" t="s">
        <v>568</v>
      </c>
      <c r="B271" s="18" t="s">
        <v>569</v>
      </c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6"/>
      <c r="AJ271" s="16"/>
      <c r="AK271" s="16"/>
    </row>
    <row r="272" spans="1:37" customHeight="1" ht="15.75">
      <c r="A272" s="14" t="s">
        <v>570</v>
      </c>
      <c r="B272" s="20" t="s">
        <v>571</v>
      </c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spans="1:37" customHeight="1" ht="15.75">
      <c r="A273" s="17" t="s">
        <v>572</v>
      </c>
      <c r="B273" s="18" t="s">
        <v>573</v>
      </c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6"/>
      <c r="AJ273" s="16"/>
      <c r="AK273" s="16"/>
    </row>
    <row r="274" spans="1:37" customHeight="1" ht="15.75">
      <c r="A274" s="17" t="s">
        <v>574</v>
      </c>
      <c r="B274" s="18" t="s">
        <v>575</v>
      </c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6"/>
      <c r="AJ274" s="16"/>
      <c r="AK274" s="16"/>
    </row>
    <row r="275" spans="1:37" customHeight="1" ht="15.75">
      <c r="A275" s="17" t="s">
        <v>576</v>
      </c>
      <c r="B275" s="18" t="s">
        <v>577</v>
      </c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6"/>
      <c r="AJ275" s="16"/>
      <c r="AK275" s="16"/>
    </row>
    <row r="276" spans="1:37" customHeight="1" ht="15.75">
      <c r="A276" s="17" t="s">
        <v>578</v>
      </c>
      <c r="B276" s="18" t="s">
        <v>579</v>
      </c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6"/>
      <c r="AJ276" s="16"/>
      <c r="AK276" s="16"/>
    </row>
    <row r="277" spans="1:37" customHeight="1" ht="15.75">
      <c r="A277" s="17" t="s">
        <v>580</v>
      </c>
      <c r="B277" s="18" t="s">
        <v>581</v>
      </c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6"/>
      <c r="AJ277" s="16"/>
      <c r="AK277" s="16"/>
    </row>
    <row r="278" spans="1:37" customHeight="1" ht="15.75">
      <c r="A278" s="17" t="s">
        <v>582</v>
      </c>
      <c r="B278" s="18" t="s">
        <v>583</v>
      </c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6"/>
      <c r="AJ278" s="16"/>
      <c r="AK278" s="16"/>
    </row>
    <row r="279" spans="1:37" customHeight="1" ht="15.75">
      <c r="A279" s="17" t="s">
        <v>584</v>
      </c>
      <c r="B279" s="18" t="s">
        <v>585</v>
      </c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6"/>
      <c r="AJ279" s="16"/>
      <c r="AK279" s="16"/>
    </row>
    <row r="280" spans="1:37" customHeight="1" ht="15.75">
      <c r="A280" s="17" t="s">
        <v>586</v>
      </c>
      <c r="B280" s="18" t="s">
        <v>587</v>
      </c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6"/>
      <c r="AJ280" s="16"/>
      <c r="AK280" s="16"/>
    </row>
    <row r="281" spans="1:37" customHeight="1" ht="15.75">
      <c r="A281" s="17" t="s">
        <v>588</v>
      </c>
      <c r="B281" s="18" t="s">
        <v>589</v>
      </c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6"/>
      <c r="AJ281" s="16"/>
      <c r="AK281" s="16"/>
    </row>
    <row r="282" spans="1:37" customHeight="1" ht="15.75">
      <c r="A282" s="14" t="s">
        <v>590</v>
      </c>
      <c r="B282" s="20" t="s">
        <v>591</v>
      </c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1:37" customHeight="1" ht="15.75">
      <c r="A283" s="17" t="s">
        <v>592</v>
      </c>
      <c r="B283" s="18" t="s">
        <v>593</v>
      </c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6"/>
      <c r="AJ283" s="16"/>
      <c r="AK283" s="16"/>
    </row>
    <row r="284" spans="1:37" customHeight="1" ht="15.75">
      <c r="A284" s="17" t="s">
        <v>594</v>
      </c>
      <c r="B284" s="18" t="s">
        <v>595</v>
      </c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6"/>
      <c r="AJ284" s="16"/>
      <c r="AK284" s="16"/>
    </row>
    <row r="285" spans="1:37" customHeight="1" ht="15.75">
      <c r="A285" s="17" t="s">
        <v>596</v>
      </c>
      <c r="B285" s="18" t="s">
        <v>597</v>
      </c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6"/>
      <c r="AJ285" s="16"/>
      <c r="AK285" s="16"/>
    </row>
    <row r="286" spans="1:37" customHeight="1" ht="15.75">
      <c r="A286" s="17" t="s">
        <v>598</v>
      </c>
      <c r="B286" s="18" t="s">
        <v>599</v>
      </c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6"/>
      <c r="AJ286" s="16"/>
      <c r="AK286" s="16"/>
    </row>
    <row r="287" spans="1:37" customHeight="1" ht="15.75">
      <c r="A287" s="17" t="s">
        <v>600</v>
      </c>
      <c r="B287" s="18" t="s">
        <v>601</v>
      </c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6"/>
      <c r="AJ287" s="16"/>
      <c r="AK287" s="16"/>
    </row>
    <row r="288" spans="1:37" customHeight="1" ht="15.75">
      <c r="A288" s="17" t="s">
        <v>602</v>
      </c>
      <c r="B288" s="18" t="s">
        <v>603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6"/>
      <c r="AJ288" s="16"/>
      <c r="AK288" s="16"/>
    </row>
    <row r="289" spans="1:37" customHeight="1" ht="15.75">
      <c r="A289" s="17" t="s">
        <v>604</v>
      </c>
      <c r="B289" s="18" t="s">
        <v>605</v>
      </c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6"/>
      <c r="AJ289" s="16"/>
      <c r="AK289" s="16"/>
    </row>
    <row r="290" spans="1:37" customHeight="1" ht="15.75">
      <c r="A290" s="17" t="s">
        <v>606</v>
      </c>
      <c r="B290" s="18" t="s">
        <v>607</v>
      </c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6"/>
      <c r="AJ290" s="16"/>
      <c r="AK290" s="16"/>
    </row>
    <row r="291" spans="1:37" customHeight="1" ht="15.75">
      <c r="A291" s="17" t="s">
        <v>608</v>
      </c>
      <c r="B291" s="18" t="s">
        <v>609</v>
      </c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6"/>
      <c r="AJ291" s="16"/>
      <c r="AK291" s="16"/>
    </row>
    <row r="292" spans="1:37" customHeight="1" ht="15.75">
      <c r="A292" s="17" t="s">
        <v>610</v>
      </c>
      <c r="B292" s="18" t="s">
        <v>611</v>
      </c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6"/>
      <c r="AJ292" s="16"/>
      <c r="AK292" s="16"/>
    </row>
    <row r="293" spans="1:37" customHeight="1" ht="15.75">
      <c r="A293" s="17" t="s">
        <v>612</v>
      </c>
      <c r="B293" s="18" t="s">
        <v>613</v>
      </c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6"/>
      <c r="AJ293" s="16"/>
      <c r="AK293" s="16"/>
    </row>
    <row r="294" spans="1:37" customHeight="1" ht="15.75">
      <c r="A294" s="17" t="s">
        <v>614</v>
      </c>
      <c r="B294" s="18" t="s">
        <v>615</v>
      </c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6"/>
      <c r="AJ294" s="16"/>
      <c r="AK294" s="16"/>
    </row>
    <row r="295" spans="1:37" customHeight="1" ht="15.75">
      <c r="A295" s="17" t="s">
        <v>616</v>
      </c>
      <c r="B295" s="18" t="s">
        <v>617</v>
      </c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6"/>
      <c r="AJ295" s="16"/>
      <c r="AK295" s="16"/>
    </row>
    <row r="296" spans="1:37" customHeight="1" ht="15.75">
      <c r="A296" s="17" t="s">
        <v>618</v>
      </c>
      <c r="B296" s="18" t="s">
        <v>619</v>
      </c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6"/>
      <c r="AJ296" s="16"/>
      <c r="AK296" s="16"/>
    </row>
    <row r="297" spans="1:37" customHeight="1" ht="15.75">
      <c r="A297" s="17" t="s">
        <v>620</v>
      </c>
      <c r="B297" s="18" t="s">
        <v>621</v>
      </c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6"/>
      <c r="AJ297" s="16"/>
      <c r="AK297" s="16"/>
    </row>
    <row r="298" spans="1:37" customHeight="1" ht="15.75">
      <c r="A298" s="17" t="s">
        <v>622</v>
      </c>
      <c r="B298" s="18" t="s">
        <v>623</v>
      </c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6"/>
      <c r="AJ298" s="16"/>
      <c r="AK298" s="16"/>
    </row>
    <row r="299" spans="1:37" customHeight="1" ht="15.75">
      <c r="A299" s="17" t="s">
        <v>624</v>
      </c>
      <c r="B299" s="18" t="s">
        <v>625</v>
      </c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6"/>
      <c r="AJ299" s="16"/>
      <c r="AK299" s="16"/>
    </row>
    <row r="300" spans="1:37" customHeight="1" ht="15.75">
      <c r="A300" s="21" t="s">
        <v>626</v>
      </c>
      <c r="B300" s="22" t="s">
        <v>627</v>
      </c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spans="1:37" customHeight="1" ht="15.75">
      <c r="A301" s="23" t="s">
        <v>628</v>
      </c>
      <c r="B301" s="24" t="s">
        <v>629</v>
      </c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6"/>
      <c r="AJ301" s="16"/>
      <c r="AK301" s="16"/>
    </row>
    <row r="302" spans="1:37" customHeight="1" ht="15.75">
      <c r="A302" s="23" t="s">
        <v>630</v>
      </c>
      <c r="B302" s="24" t="s">
        <v>631</v>
      </c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6"/>
      <c r="AJ302" s="16"/>
      <c r="AK302" s="16"/>
    </row>
    <row r="303" spans="1:37" customHeight="1" ht="15.75">
      <c r="A303" s="23" t="s">
        <v>632</v>
      </c>
      <c r="B303" s="24" t="s">
        <v>633</v>
      </c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6"/>
      <c r="AJ303" s="16"/>
      <c r="AK303" s="16"/>
    </row>
    <row r="304" spans="1:37" customHeight="1" ht="15.75">
      <c r="A304" s="23" t="s">
        <v>634</v>
      </c>
      <c r="B304" s="24" t="s">
        <v>635</v>
      </c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6"/>
      <c r="AJ304" s="16"/>
      <c r="AK304" s="16"/>
    </row>
    <row r="305" spans="1:37" customHeight="1" ht="15.75">
      <c r="A305" s="23" t="s">
        <v>636</v>
      </c>
      <c r="B305" s="24" t="s">
        <v>637</v>
      </c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6"/>
      <c r="AJ305" s="16"/>
      <c r="AK305" s="16"/>
    </row>
    <row r="306" spans="1:37" customHeight="1" ht="15.75">
      <c r="A306" s="23" t="s">
        <v>638</v>
      </c>
      <c r="B306" s="24" t="s">
        <v>639</v>
      </c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6"/>
      <c r="AJ306" s="16"/>
      <c r="AK306" s="16"/>
    </row>
    <row r="307" spans="1:37" customHeight="1" ht="15.75">
      <c r="A307" s="23" t="s">
        <v>640</v>
      </c>
      <c r="B307" s="24" t="s">
        <v>641</v>
      </c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6"/>
      <c r="AJ307" s="16"/>
      <c r="AK307" s="16"/>
    </row>
    <row r="308" spans="1:37" customHeight="1" ht="15.75">
      <c r="A308" s="23" t="s">
        <v>642</v>
      </c>
      <c r="B308" s="24" t="s">
        <v>643</v>
      </c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6"/>
      <c r="AJ308" s="16"/>
      <c r="AK308" s="16"/>
    </row>
    <row r="309" spans="1:37" customHeight="1" ht="15.75">
      <c r="A309" s="23" t="s">
        <v>644</v>
      </c>
      <c r="B309" s="24" t="s">
        <v>645</v>
      </c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6"/>
      <c r="AJ309" s="16"/>
      <c r="AK309" s="16"/>
    </row>
    <row r="310" spans="1:37" customHeight="1" ht="15.75">
      <c r="A310" s="23" t="s">
        <v>646</v>
      </c>
      <c r="B310" s="24" t="s">
        <v>647</v>
      </c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6"/>
      <c r="AJ310" s="16"/>
      <c r="AK310" s="16"/>
    </row>
    <row r="311" spans="1:37" customHeight="1" ht="15.75">
      <c r="A311" s="23" t="s">
        <v>648</v>
      </c>
      <c r="B311" s="24" t="s">
        <v>649</v>
      </c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6"/>
      <c r="AJ311" s="16"/>
      <c r="AK311" s="16"/>
    </row>
    <row r="312" spans="1:37" customHeight="1" ht="15.75">
      <c r="A312" s="23" t="s">
        <v>650</v>
      </c>
      <c r="B312" s="24" t="s">
        <v>651</v>
      </c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6"/>
      <c r="AJ312" s="16"/>
      <c r="AK312" s="16"/>
    </row>
    <row r="313" spans="1:37" customHeight="1" ht="15.75">
      <c r="A313" s="23" t="s">
        <v>652</v>
      </c>
      <c r="B313" s="24" t="s">
        <v>653</v>
      </c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6"/>
      <c r="AJ313" s="16"/>
      <c r="AK313" s="16"/>
    </row>
    <row r="314" spans="1:37" customHeight="1" ht="15.75">
      <c r="A314" s="23" t="s">
        <v>654</v>
      </c>
      <c r="B314" s="24" t="s">
        <v>655</v>
      </c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6"/>
      <c r="AJ314" s="16"/>
      <c r="AK314" s="16"/>
    </row>
    <row r="315" spans="1:37" customHeight="1" ht="15.75">
      <c r="A315" s="23" t="s">
        <v>656</v>
      </c>
      <c r="B315" s="24" t="s">
        <v>657</v>
      </c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6"/>
      <c r="AJ315" s="16"/>
      <c r="AK315" s="16"/>
    </row>
    <row r="316" spans="1:37" customHeight="1" ht="15.75">
      <c r="A316" s="23" t="s">
        <v>658</v>
      </c>
      <c r="B316" s="24" t="s">
        <v>659</v>
      </c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6"/>
      <c r="AJ316" s="16"/>
      <c r="AK316" s="16"/>
    </row>
    <row r="317" spans="1:37" customHeight="1" ht="15.75">
      <c r="A317" s="23" t="s">
        <v>660</v>
      </c>
      <c r="B317" s="24" t="s">
        <v>661</v>
      </c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6"/>
      <c r="AJ317" s="16"/>
      <c r="AK317" s="16"/>
    </row>
    <row r="318" spans="1:37" customHeight="1" ht="15.75">
      <c r="A318" s="23" t="s">
        <v>662</v>
      </c>
      <c r="B318" s="24" t="s">
        <v>663</v>
      </c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6"/>
      <c r="AJ318" s="16"/>
      <c r="AK318" s="16"/>
    </row>
    <row r="319" spans="1:37" customHeight="1" ht="15.75">
      <c r="A319" s="23" t="s">
        <v>664</v>
      </c>
      <c r="B319" s="24" t="s">
        <v>665</v>
      </c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6"/>
      <c r="AJ319" s="16"/>
      <c r="AK319" s="16"/>
    </row>
    <row r="320" spans="1:37" customHeight="1" ht="15.75">
      <c r="A320" s="21" t="s">
        <v>666</v>
      </c>
      <c r="B320" s="22" t="s">
        <v>667</v>
      </c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spans="1:37" customHeight="1" ht="15.75">
      <c r="A321" s="23" t="s">
        <v>668</v>
      </c>
      <c r="B321" s="24" t="s">
        <v>669</v>
      </c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6"/>
      <c r="AJ321" s="16"/>
      <c r="AK321" s="16"/>
    </row>
    <row r="322" spans="1:37" customHeight="1" ht="15.75">
      <c r="A322" s="23" t="s">
        <v>670</v>
      </c>
      <c r="B322" s="24" t="s">
        <v>671</v>
      </c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6"/>
      <c r="AJ322" s="16"/>
      <c r="AK322" s="16"/>
    </row>
    <row r="323" spans="1:37" customHeight="1" ht="15.75">
      <c r="A323" s="23" t="s">
        <v>672</v>
      </c>
      <c r="B323" s="24" t="s">
        <v>673</v>
      </c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6"/>
      <c r="AJ323" s="16"/>
      <c r="AK323" s="16"/>
    </row>
    <row r="324" spans="1:37" customHeight="1" ht="15.75">
      <c r="A324" s="23" t="s">
        <v>674</v>
      </c>
      <c r="B324" s="24" t="s">
        <v>675</v>
      </c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6"/>
      <c r="AJ324" s="16"/>
      <c r="AK324" s="16"/>
    </row>
    <row r="325" spans="1:37" customHeight="1" ht="15.75">
      <c r="A325" s="23" t="s">
        <v>676</v>
      </c>
      <c r="B325" s="24" t="s">
        <v>677</v>
      </c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6"/>
      <c r="AJ325" s="16"/>
      <c r="AK325" s="16"/>
    </row>
    <row r="326" spans="1:37" customHeight="1" ht="15.75">
      <c r="A326" s="23" t="s">
        <v>678</v>
      </c>
      <c r="B326" s="24" t="s">
        <v>679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6"/>
      <c r="AJ326" s="16"/>
      <c r="AK326" s="16"/>
    </row>
    <row r="327" spans="1:37" customHeight="1" ht="15.75">
      <c r="A327" s="23" t="s">
        <v>680</v>
      </c>
      <c r="B327" s="24" t="s">
        <v>681</v>
      </c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6"/>
      <c r="AJ327" s="16"/>
      <c r="AK327" s="16"/>
    </row>
    <row r="328" spans="1:37" customHeight="1" ht="15.75">
      <c r="A328" s="23" t="s">
        <v>682</v>
      </c>
      <c r="B328" s="24" t="s">
        <v>683</v>
      </c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6"/>
      <c r="AJ328" s="16"/>
      <c r="AK328" s="16"/>
    </row>
    <row r="329" spans="1:37" customHeight="1" ht="15.75">
      <c r="A329" s="23" t="s">
        <v>684</v>
      </c>
      <c r="B329" s="24" t="s">
        <v>685</v>
      </c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6"/>
      <c r="AJ329" s="16"/>
      <c r="AK329" s="16"/>
    </row>
    <row r="330" spans="1:37" customHeight="1" ht="15.75">
      <c r="A330" s="21" t="s">
        <v>686</v>
      </c>
      <c r="B330" s="22" t="s">
        <v>687</v>
      </c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spans="1:37" customHeight="1" ht="15.75">
      <c r="A331" s="23" t="s">
        <v>688</v>
      </c>
      <c r="B331" s="24" t="s">
        <v>689</v>
      </c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6"/>
      <c r="AJ331" s="16"/>
      <c r="AK331" s="16"/>
    </row>
    <row r="332" spans="1:37" customHeight="1" ht="15.75">
      <c r="A332" s="23" t="s">
        <v>690</v>
      </c>
      <c r="B332" s="24" t="s">
        <v>691</v>
      </c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6"/>
      <c r="AJ332" s="16"/>
      <c r="AK332" s="16"/>
    </row>
    <row r="333" spans="1:37" customHeight="1" ht="15.75">
      <c r="A333" s="23" t="s">
        <v>692</v>
      </c>
      <c r="B333" s="24" t="s">
        <v>693</v>
      </c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6"/>
      <c r="AJ333" s="16"/>
      <c r="AK333" s="16"/>
    </row>
    <row r="334" spans="1:37" customHeight="1" ht="15.75">
      <c r="A334" s="23" t="s">
        <v>694</v>
      </c>
      <c r="B334" s="24" t="s">
        <v>695</v>
      </c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6"/>
      <c r="AJ334" s="16"/>
      <c r="AK334" s="16"/>
    </row>
    <row r="335" spans="1:37" customHeight="1" ht="15.75">
      <c r="A335" s="23" t="s">
        <v>696</v>
      </c>
      <c r="B335" s="24" t="s">
        <v>697</v>
      </c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6"/>
      <c r="AJ335" s="16"/>
      <c r="AK335" s="16"/>
    </row>
    <row r="336" spans="1:37" customHeight="1" ht="15.75">
      <c r="A336" s="23" t="s">
        <v>698</v>
      </c>
      <c r="B336" s="24" t="s">
        <v>699</v>
      </c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6"/>
      <c r="AJ336" s="16"/>
      <c r="AK336" s="16"/>
    </row>
    <row r="337" spans="1:37" customHeight="1" ht="15.75">
      <c r="A337" s="25"/>
      <c r="B337" s="26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spans="1:37" customHeight="1" ht="15.75">
      <c r="A338" s="25"/>
      <c r="B338" s="26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spans="1:37" customHeight="1" ht="15.75">
      <c r="A339" s="25"/>
      <c r="B339" s="26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spans="1:37" customHeight="1" ht="15.75">
      <c r="A340" s="25"/>
      <c r="B340" s="26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spans="1:37" customHeight="1" ht="15.75">
      <c r="A341" s="25"/>
      <c r="B341" s="26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spans="1:37" customHeight="1" ht="15.75">
      <c r="A342" s="25"/>
      <c r="B342" s="26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spans="1:37" customHeight="1" ht="15.75">
      <c r="A343" s="25"/>
      <c r="B343" s="26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spans="1:37" customHeight="1" ht="15.75">
      <c r="A344" s="25"/>
      <c r="B344" s="26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spans="1:37" customHeight="1" ht="15.75">
      <c r="A345" s="25"/>
      <c r="B345" s="26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spans="1:37" customHeight="1" ht="15.75">
      <c r="A346" s="25"/>
      <c r="B346" s="26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spans="1:37" customHeight="1" ht="15.75">
      <c r="A347" s="25"/>
      <c r="B347" s="26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spans="1:37" customHeight="1" ht="15.75">
      <c r="A348" s="25"/>
      <c r="B348" s="26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spans="1:37" customHeight="1" ht="15.75">
      <c r="A349" s="25"/>
      <c r="B349" s="26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spans="1:37" customHeight="1" ht="15.75">
      <c r="A350" s="25"/>
      <c r="B350" s="26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spans="1:37" customHeight="1" ht="15.75">
      <c r="A351" s="25"/>
      <c r="B351" s="26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spans="1:37" customHeight="1" ht="15.75">
      <c r="A352" s="25"/>
      <c r="B352" s="26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spans="1:37" customHeight="1" ht="15.75">
      <c r="A353" s="25"/>
      <c r="B353" s="26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spans="1:37" customHeight="1" ht="15.75">
      <c r="A354" s="25"/>
      <c r="B354" s="26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spans="1:37" customHeight="1" ht="15.75">
      <c r="A355" s="25"/>
      <c r="B355" s="26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spans="1:37" customHeight="1" ht="15.75">
      <c r="A356" s="25"/>
      <c r="B356" s="26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spans="1:37" customHeight="1" ht="15.75">
      <c r="A357" s="25"/>
      <c r="B357" s="26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spans="1:37" customHeight="1" ht="15.75">
      <c r="A358" s="25"/>
      <c r="B358" s="26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spans="1:37" customHeight="1" ht="15.75">
      <c r="A359" s="25"/>
      <c r="B359" s="26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spans="1:37" customHeight="1" ht="15.75">
      <c r="A360" s="25"/>
      <c r="B360" s="26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spans="1:37" customHeight="1" ht="15.75">
      <c r="A361" s="25"/>
      <c r="B361" s="26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spans="1:37" customHeight="1" ht="15.75">
      <c r="A362" s="25"/>
      <c r="B362" s="26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spans="1:37" customHeight="1" ht="15.75">
      <c r="A363" s="25"/>
      <c r="B363" s="26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spans="1:37" customHeight="1" ht="15.75">
      <c r="A364" s="25"/>
      <c r="B364" s="26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spans="1:37" customHeight="1" ht="15.75">
      <c r="A365" s="25"/>
      <c r="B365" s="26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spans="1:37" customHeight="1" ht="15.75">
      <c r="A366" s="25"/>
      <c r="B366" s="26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spans="1:37" customHeight="1" ht="15.75">
      <c r="A367" s="25"/>
      <c r="B367" s="26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spans="1:37" customHeight="1" ht="15.75">
      <c r="A368" s="25"/>
      <c r="B368" s="26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spans="1:37" customHeight="1" ht="15.75">
      <c r="A369" s="25"/>
      <c r="B369" s="26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spans="1:37" customHeight="1" ht="15.75">
      <c r="A370" s="25"/>
      <c r="B370" s="26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spans="1:37" customHeight="1" ht="15.75">
      <c r="A371" s="25"/>
      <c r="B371" s="26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spans="1:37" customHeight="1" ht="15.75">
      <c r="A372" s="25"/>
      <c r="B372" s="26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spans="1:37" customHeight="1" ht="15.75">
      <c r="A373" s="25"/>
      <c r="B373" s="26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spans="1:37" customHeight="1" ht="15.75">
      <c r="A374" s="25"/>
      <c r="B374" s="26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spans="1:37" customHeight="1" ht="15.75">
      <c r="A375" s="25"/>
      <c r="B375" s="26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spans="1:37" customHeight="1" ht="15.75">
      <c r="A376" s="25"/>
      <c r="B376" s="26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spans="1:37" customHeight="1" ht="15.75">
      <c r="A377" s="25"/>
      <c r="B377" s="26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spans="1:37" customHeight="1" ht="15.75">
      <c r="A378" s="25"/>
      <c r="B378" s="26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spans="1:37" customHeight="1" ht="15.75">
      <c r="A379" s="25"/>
      <c r="B379" s="26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spans="1:37" customHeight="1" ht="15.75">
      <c r="A380" s="25"/>
      <c r="B380" s="26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spans="1:37" customHeight="1" ht="15.75">
      <c r="A381" s="25"/>
      <c r="B381" s="26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spans="1:37" customHeight="1" ht="15.75">
      <c r="A382" s="25"/>
      <c r="B382" s="26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spans="1:37" customHeight="1" ht="15.75">
      <c r="A383" s="25"/>
      <c r="B383" s="26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spans="1:37" customHeight="1" ht="15.75">
      <c r="A384" s="25"/>
      <c r="B384" s="26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spans="1:37" customHeight="1" ht="15.75">
      <c r="A385" s="25"/>
      <c r="B385" s="26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spans="1:37" customHeight="1" ht="15.75">
      <c r="A386" s="25"/>
      <c r="B386" s="26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spans="1:37" customHeight="1" ht="15.75">
      <c r="A387" s="25"/>
      <c r="B387" s="26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spans="1:37" customHeight="1" ht="15.75">
      <c r="A388" s="25"/>
      <c r="B388" s="26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spans="1:37" customHeight="1" ht="15.75">
      <c r="A389" s="25"/>
      <c r="B389" s="26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spans="1:37" customHeight="1" ht="15.75">
      <c r="A390" s="25"/>
      <c r="B390" s="26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spans="1:37" customHeight="1" ht="15.75">
      <c r="A391" s="25"/>
      <c r="B391" s="26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spans="1:37" customHeight="1" ht="15.75">
      <c r="A392" s="25"/>
      <c r="B392" s="26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spans="1:37" customHeight="1" ht="15.75">
      <c r="A393" s="25"/>
      <c r="B393" s="26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spans="1:37" customHeight="1" ht="15.75">
      <c r="A394" s="25"/>
      <c r="B394" s="26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spans="1:37" customHeight="1" ht="15.75">
      <c r="A395" s="25"/>
      <c r="B395" s="26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spans="1:37" customHeight="1" ht="15.75">
      <c r="A396" s="25"/>
      <c r="B396" s="26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spans="1:37" customHeight="1" ht="15.75">
      <c r="A397" s="25"/>
      <c r="B397" s="26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spans="1:37" customHeight="1" ht="15.75">
      <c r="A398" s="25"/>
      <c r="B398" s="26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spans="1:37" customHeight="1" ht="15.75">
      <c r="A399" s="25"/>
      <c r="B399" s="26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spans="1:37" customHeight="1" ht="15.75">
      <c r="A400" s="25"/>
      <c r="B400" s="26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spans="1:37" customHeight="1" ht="15.75">
      <c r="A401" s="25"/>
      <c r="B401" s="26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spans="1:37" customHeight="1" ht="15.75">
      <c r="A402" s="25"/>
      <c r="B402" s="26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spans="1:37" customHeight="1" ht="15.75">
      <c r="A403" s="25"/>
      <c r="B403" s="26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spans="1:37" customHeight="1" ht="15.75">
      <c r="A404" s="25"/>
      <c r="B404" s="26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spans="1:37" customHeight="1" ht="15.75">
      <c r="A405" s="25"/>
      <c r="B405" s="26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spans="1:37" customHeight="1" ht="15.75">
      <c r="A406" s="25"/>
      <c r="B406" s="26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spans="1:37" customHeight="1" ht="15.75">
      <c r="A407" s="25"/>
      <c r="B407" s="26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spans="1:37" customHeight="1" ht="15.75">
      <c r="A408" s="25"/>
      <c r="B408" s="26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spans="1:37" customHeight="1" ht="15.75">
      <c r="A409" s="25"/>
      <c r="B409" s="26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spans="1:37" customHeight="1" ht="15.75">
      <c r="A410" s="25"/>
      <c r="B410" s="26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spans="1:37" customHeight="1" ht="15.75">
      <c r="A411" s="25"/>
      <c r="B411" s="26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spans="1:37" customHeight="1" ht="15.75">
      <c r="A412" s="25"/>
      <c r="B412" s="26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spans="1:37" customHeight="1" ht="15.75">
      <c r="A413" s="25"/>
      <c r="B413" s="26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spans="1:37" customHeight="1" ht="15.75">
      <c r="A414" s="25"/>
      <c r="B414" s="26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spans="1:37" customHeight="1" ht="15.75">
      <c r="A415" s="25"/>
      <c r="B415" s="26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spans="1:37" customHeight="1" ht="15.75">
      <c r="A416" s="25"/>
      <c r="B416" s="26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spans="1:37" customHeight="1" ht="15.75">
      <c r="A417" s="25"/>
      <c r="B417" s="26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spans="1:37" customHeight="1" ht="15.75">
      <c r="A418" s="25"/>
      <c r="B418" s="26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spans="1:37" customHeight="1" ht="15.75">
      <c r="A419" s="25"/>
      <c r="B419" s="26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spans="1:37" customHeight="1" ht="15.75">
      <c r="A420" s="25"/>
      <c r="B420" s="26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spans="1:37" customHeight="1" ht="15.75">
      <c r="A421" s="25"/>
      <c r="B421" s="26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spans="1:37" customHeight="1" ht="15.75">
      <c r="A422" s="25"/>
      <c r="B422" s="26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spans="1:37" customHeight="1" ht="15.75">
      <c r="A423" s="25"/>
      <c r="B423" s="26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spans="1:37" customHeight="1" ht="15.75">
      <c r="A424" s="25"/>
      <c r="B424" s="26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spans="1:37" customHeight="1" ht="15.75">
      <c r="A425" s="25"/>
      <c r="B425" s="26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spans="1:37" customHeight="1" ht="15.75">
      <c r="A426" s="25"/>
      <c r="B426" s="26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spans="1:37" customHeight="1" ht="15.75">
      <c r="A427" s="25"/>
      <c r="B427" s="26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spans="1:37" customHeight="1" ht="15.75">
      <c r="A428" s="25"/>
      <c r="B428" s="26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spans="1:37" customHeight="1" ht="15.75">
      <c r="A429" s="25"/>
      <c r="B429" s="26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spans="1:37" customHeight="1" ht="15.75">
      <c r="A430" s="25"/>
      <c r="B430" s="26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spans="1:37" customHeight="1" ht="15.75">
      <c r="A431" s="25"/>
      <c r="B431" s="26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spans="1:37" customHeight="1" ht="15.75">
      <c r="A432" s="25"/>
      <c r="B432" s="26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spans="1:37" customHeight="1" ht="15.75">
      <c r="A433" s="25"/>
      <c r="B433" s="26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spans="1:37" customHeight="1" ht="15.75">
      <c r="A434" s="25"/>
      <c r="B434" s="26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spans="1:37" customHeight="1" ht="15.75">
      <c r="A435" s="25"/>
      <c r="B435" s="26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spans="1:37" customHeight="1" ht="15.75">
      <c r="A436" s="25"/>
      <c r="B436" s="26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spans="1:37" customHeight="1" ht="15.75">
      <c r="A437" s="25"/>
      <c r="B437" s="26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spans="1:37" customHeight="1" ht="15.75">
      <c r="A438" s="25"/>
      <c r="B438" s="26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spans="1:37" customHeight="1" ht="15.75">
      <c r="A439" s="25"/>
      <c r="B439" s="26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spans="1:37" customHeight="1" ht="15.75">
      <c r="A440" s="25"/>
      <c r="B440" s="26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spans="1:37" customHeight="1" ht="15.75">
      <c r="A441" s="25"/>
      <c r="B441" s="26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spans="1:37" customHeight="1" ht="15.75">
      <c r="A442" s="25"/>
      <c r="B442" s="26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spans="1:37" customHeight="1" ht="15.75">
      <c r="A443" s="25"/>
      <c r="B443" s="26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spans="1:37" customHeight="1" ht="15.75">
      <c r="A444" s="25"/>
      <c r="B444" s="26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spans="1:37" customHeight="1" ht="15.75">
      <c r="A445" s="25"/>
      <c r="B445" s="26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spans="1:37" customHeight="1" ht="15.75">
      <c r="A446" s="25"/>
      <c r="B446" s="26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spans="1:37" customHeight="1" ht="15.75">
      <c r="A447" s="25"/>
      <c r="B447" s="26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spans="1:37" customHeight="1" ht="15.75">
      <c r="A448" s="25"/>
      <c r="B448" s="26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spans="1:37" customHeight="1" ht="15.75">
      <c r="A449" s="25"/>
      <c r="B449" s="26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spans="1:37" customHeight="1" ht="15.75">
      <c r="A450" s="25"/>
      <c r="B450" s="26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spans="1:37" customHeight="1" ht="15.75">
      <c r="A451" s="25"/>
      <c r="B451" s="26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spans="1:37" customHeight="1" ht="15.75">
      <c r="A452" s="25"/>
      <c r="B452" s="26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spans="1:37" customHeight="1" ht="15.75">
      <c r="A453" s="25"/>
      <c r="B453" s="26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spans="1:37" customHeight="1" ht="15.75">
      <c r="A454" s="25"/>
      <c r="B454" s="26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spans="1:37" customHeight="1" ht="15.75">
      <c r="A455" s="25"/>
      <c r="B455" s="26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spans="1:37" customHeight="1" ht="15.75">
      <c r="A456" s="25"/>
      <c r="B456" s="26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spans="1:37" customHeight="1" ht="15.75">
      <c r="A457" s="25"/>
      <c r="B457" s="26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spans="1:37" customHeight="1" ht="15.75">
      <c r="A458" s="25"/>
      <c r="B458" s="26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spans="1:37" customHeight="1" ht="15.75">
      <c r="A459" s="25"/>
      <c r="B459" s="26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spans="1:37" customHeight="1" ht="15.75">
      <c r="A460" s="25"/>
      <c r="B460" s="26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spans="1:37" customHeight="1" ht="15.75">
      <c r="A461" s="25"/>
      <c r="B461" s="26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spans="1:37" customHeight="1" ht="15.75">
      <c r="A462" s="25"/>
      <c r="B462" s="26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spans="1:37" customHeight="1" ht="15.75">
      <c r="A463" s="25"/>
      <c r="B463" s="26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spans="1:37" customHeight="1" ht="15.75">
      <c r="A464" s="25"/>
      <c r="B464" s="26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spans="1:37" customHeight="1" ht="15.75">
      <c r="A465" s="25"/>
      <c r="B465" s="26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spans="1:37" customHeight="1" ht="15.75">
      <c r="A466" s="25"/>
      <c r="B466" s="26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spans="1:37" customHeight="1" ht="15.75">
      <c r="A467" s="25"/>
      <c r="B467" s="26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spans="1:37" customHeight="1" ht="15.75">
      <c r="A468" s="25"/>
      <c r="B468" s="26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spans="1:37" customHeight="1" ht="15.75">
      <c r="A469" s="25"/>
      <c r="B469" s="26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spans="1:37" customHeight="1" ht="15.75">
      <c r="A470" s="25"/>
      <c r="B470" s="26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spans="1:37" customHeight="1" ht="15.75">
      <c r="A471" s="25"/>
      <c r="B471" s="26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spans="1:37" customHeight="1" ht="15.75">
      <c r="A472" s="25"/>
      <c r="B472" s="26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spans="1:37" customHeight="1" ht="15.75">
      <c r="A473" s="25"/>
      <c r="B473" s="26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spans="1:37" customHeight="1" ht="15.75">
      <c r="A474" s="25"/>
      <c r="B474" s="26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spans="1:37" customHeight="1" ht="15.75">
      <c r="A475" s="25"/>
      <c r="B475" s="26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spans="1:37" customHeight="1" ht="15.75">
      <c r="A476" s="25"/>
      <c r="B476" s="26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spans="1:37" customHeight="1" ht="15.75">
      <c r="A477" s="25"/>
      <c r="B477" s="26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spans="1:37" customHeight="1" ht="15.75">
      <c r="A478" s="25"/>
      <c r="B478" s="26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spans="1:37" customHeight="1" ht="15.75">
      <c r="A479" s="25"/>
      <c r="B479" s="26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spans="1:37" customHeight="1" ht="15.75">
      <c r="A480" s="25"/>
      <c r="B480" s="26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spans="1:37" customHeight="1" ht="15.75">
      <c r="A481" s="25"/>
      <c r="B481" s="26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spans="1:37" customHeight="1" ht="15.75">
      <c r="A482" s="25"/>
      <c r="B482" s="26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spans="1:37" customHeight="1" ht="15.75">
      <c r="A483" s="25"/>
      <c r="B483" s="26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spans="1:37" customHeight="1" ht="15.75">
      <c r="A484" s="25"/>
      <c r="B484" s="26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spans="1:37" customHeight="1" ht="15.75">
      <c r="A485" s="25"/>
      <c r="B485" s="26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spans="1:37" customHeight="1" ht="15.75">
      <c r="A486" s="25"/>
      <c r="B486" s="26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spans="1:37" customHeight="1" ht="15.75">
      <c r="A487" s="25"/>
      <c r="B487" s="26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spans="1:37" customHeight="1" ht="15.75">
      <c r="A488" s="25"/>
      <c r="B488" s="26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spans="1:37" customHeight="1" ht="15.75">
      <c r="A489" s="25"/>
      <c r="B489" s="26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spans="1:37" customHeight="1" ht="15.75">
      <c r="A490" s="25"/>
      <c r="B490" s="26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spans="1:37" customHeight="1" ht="15.75">
      <c r="A491" s="25"/>
      <c r="B491" s="26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spans="1:37" customHeight="1" ht="15.75">
      <c r="A492" s="25"/>
      <c r="B492" s="26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spans="1:37" customHeight="1" ht="15.75">
      <c r="A493" s="25"/>
      <c r="B493" s="26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spans="1:37" customHeight="1" ht="15.75">
      <c r="A494" s="25"/>
      <c r="B494" s="26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spans="1:37" customHeight="1" ht="15.75">
      <c r="A495" s="25"/>
      <c r="B495" s="26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spans="1:37" customHeight="1" ht="15.75">
      <c r="A496" s="25"/>
      <c r="B496" s="26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spans="1:37" customHeight="1" ht="15.75">
      <c r="A497" s="25"/>
      <c r="B497" s="26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spans="1:37" customHeight="1" ht="15.75">
      <c r="A498" s="25"/>
      <c r="B498" s="26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spans="1:37" customHeight="1" ht="15.75">
      <c r="A499" s="25"/>
      <c r="B499" s="26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spans="1:37" customHeight="1" ht="15.75">
      <c r="A500" s="25"/>
      <c r="B500" s="26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spans="1:37" customHeight="1" ht="15.75">
      <c r="A501" s="25"/>
      <c r="B501" s="26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spans="1:37" customHeight="1" ht="15.75">
      <c r="A502" s="25"/>
      <c r="B502" s="26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spans="1:37" customHeight="1" ht="15.75">
      <c r="A503" s="25"/>
      <c r="B503" s="26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spans="1:37" customHeight="1" ht="15.75">
      <c r="A504" s="25"/>
      <c r="B504" s="26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spans="1:37" customHeight="1" ht="15.75">
      <c r="A505" s="25"/>
      <c r="B505" s="26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spans="1:37" customHeight="1" ht="15.75">
      <c r="A506" s="25"/>
      <c r="B506" s="26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spans="1:37" customHeight="1" ht="15.75">
      <c r="A507" s="25"/>
      <c r="B507" s="26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spans="1:37" customHeight="1" ht="15.75">
      <c r="A508" s="25"/>
      <c r="B508" s="26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spans="1:37" customHeight="1" ht="15.75">
      <c r="A509" s="25"/>
      <c r="B509" s="26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spans="1:37" customHeight="1" ht="15.75">
      <c r="A510" s="25"/>
      <c r="B510" s="26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spans="1:37" customHeight="1" ht="15.75">
      <c r="A511" s="25"/>
      <c r="B511" s="26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spans="1:37" customHeight="1" ht="15.75">
      <c r="A512" s="25"/>
      <c r="B512" s="26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spans="1:37" customHeight="1" ht="15.75">
      <c r="A513" s="25"/>
      <c r="B513" s="26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spans="1:37" customHeight="1" ht="15.75">
      <c r="A514" s="25"/>
      <c r="B514" s="26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spans="1:37" customHeight="1" ht="15.75">
      <c r="A515" s="25"/>
      <c r="B515" s="26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spans="1:37" customHeight="1" ht="15.75">
      <c r="A516" s="25"/>
      <c r="B516" s="26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spans="1:37" customHeight="1" ht="15.75">
      <c r="A517" s="25"/>
      <c r="B517" s="26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spans="1:37" customHeight="1" ht="15.75">
      <c r="A518" s="25"/>
      <c r="B518" s="26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spans="1:37" customHeight="1" ht="15.75">
      <c r="A519" s="25"/>
      <c r="B519" s="26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spans="1:37" customHeight="1" ht="15.75">
      <c r="A520" s="25"/>
      <c r="B520" s="26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spans="1:37" customHeight="1" ht="15.75">
      <c r="A521" s="25"/>
      <c r="B521" s="26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spans="1:37" customHeight="1" ht="15.75">
      <c r="A522" s="25"/>
      <c r="B522" s="26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spans="1:37" customHeight="1" ht="15.75">
      <c r="A523" s="25"/>
      <c r="B523" s="26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spans="1:37" customHeight="1" ht="15.75">
      <c r="A524" s="25"/>
      <c r="B524" s="26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spans="1:37" customHeight="1" ht="15.75">
      <c r="A525" s="25"/>
      <c r="B525" s="26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spans="1:37" customHeight="1" ht="15.75">
      <c r="A526" s="25"/>
      <c r="B526" s="26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spans="1:37" customHeight="1" ht="15.75">
      <c r="A527" s="25"/>
      <c r="B527" s="26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spans="1:37" customHeight="1" ht="15.75">
      <c r="A528" s="25"/>
      <c r="B528" s="26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spans="1:37" customHeight="1" ht="15.75">
      <c r="A529" s="25"/>
      <c r="B529" s="26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spans="1:37" customHeight="1" ht="15.75">
      <c r="A530" s="25"/>
      <c r="B530" s="26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spans="1:37" customHeight="1" ht="15.75">
      <c r="A531" s="25"/>
      <c r="B531" s="26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spans="1:37" customHeight="1" ht="15.75">
      <c r="A532" s="25"/>
      <c r="B532" s="26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spans="1:37" customHeight="1" ht="15.75">
      <c r="A533" s="25"/>
      <c r="B533" s="26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spans="1:37" customHeight="1" ht="15.75">
      <c r="A534" s="25"/>
      <c r="B534" s="26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spans="1:37" customHeight="1" ht="15.75">
      <c r="A535" s="25"/>
      <c r="B535" s="26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spans="1:37" customHeight="1" ht="15.75">
      <c r="A536" s="25"/>
      <c r="B536" s="26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spans="1:37" customHeight="1" ht="15.75"/>
    <row r="538" spans="1:37" customHeight="1" ht="15.75"/>
    <row r="539" spans="1:37" customHeight="1" ht="15.75"/>
    <row r="540" spans="1:37" customHeight="1" ht="15.75"/>
    <row r="541" spans="1:37" customHeight="1" ht="15.75"/>
    <row r="542" spans="1:37" customHeight="1" ht="15.75"/>
    <row r="543" spans="1:37" customHeight="1" ht="15.75"/>
    <row r="544" spans="1:37" customHeight="1" ht="15.75"/>
    <row r="545" spans="1:37" customHeight="1" ht="15.75"/>
    <row r="546" spans="1:37" customHeight="1" ht="15.75"/>
    <row r="547" spans="1:37" customHeight="1" ht="15.75"/>
    <row r="548" spans="1:37" customHeight="1" ht="15.75"/>
    <row r="549" spans="1:37" customHeight="1" ht="15.75"/>
    <row r="550" spans="1:37" customHeight="1" ht="15.75"/>
    <row r="551" spans="1:37" customHeight="1" ht="15.75"/>
    <row r="552" spans="1:37" customHeight="1" ht="15.75"/>
    <row r="553" spans="1:37" customHeight="1" ht="15.75"/>
    <row r="554" spans="1:37" customHeight="1" ht="15.75"/>
    <row r="555" spans="1:37" customHeight="1" ht="15.75"/>
    <row r="556" spans="1:37" customHeight="1" ht="15.75"/>
    <row r="557" spans="1:37" customHeight="1" ht="15.75"/>
    <row r="558" spans="1:37" customHeight="1" ht="15.75"/>
    <row r="559" spans="1:37" customHeight="1" ht="15.75"/>
    <row r="560" spans="1:37" customHeight="1" ht="15.75"/>
    <row r="561" spans="1:37" customHeight="1" ht="15.75"/>
    <row r="562" spans="1:37" customHeight="1" ht="15.75"/>
    <row r="563" spans="1:37" customHeight="1" ht="15.75"/>
    <row r="564" spans="1:37" customHeight="1" ht="15.75"/>
    <row r="565" spans="1:37" customHeight="1" ht="15.75"/>
    <row r="566" spans="1:37" customHeight="1" ht="15.75"/>
    <row r="567" spans="1:37" customHeight="1" ht="15.75"/>
    <row r="568" spans="1:37" customHeight="1" ht="15.75"/>
    <row r="569" spans="1:37" customHeight="1" ht="15.75"/>
    <row r="570" spans="1:37" customHeight="1" ht="15.75"/>
    <row r="571" spans="1:37" customHeight="1" ht="15.75"/>
    <row r="572" spans="1:37" customHeight="1" ht="15.75"/>
    <row r="573" spans="1:37" customHeight="1" ht="15.75"/>
    <row r="574" spans="1:37" customHeight="1" ht="15.75"/>
    <row r="575" spans="1:37" customHeight="1" ht="15.75"/>
    <row r="576" spans="1:37" customHeight="1" ht="15.75"/>
    <row r="577" spans="1:37" customHeight="1" ht="15.75"/>
    <row r="578" spans="1:37" customHeight="1" ht="15.75"/>
    <row r="579" spans="1:37" customHeight="1" ht="15.75"/>
    <row r="580" spans="1:37" customHeight="1" ht="15.75"/>
    <row r="581" spans="1:37" customHeight="1" ht="15.75"/>
    <row r="582" spans="1:37" customHeight="1" ht="15.75"/>
    <row r="583" spans="1:37" customHeight="1" ht="15.75"/>
    <row r="584" spans="1:37" customHeight="1" ht="15.75"/>
    <row r="585" spans="1:37" customHeight="1" ht="15.75"/>
    <row r="586" spans="1:37" customHeight="1" ht="15.75"/>
    <row r="587" spans="1:37" customHeight="1" ht="15.75"/>
    <row r="588" spans="1:37" customHeight="1" ht="15.75"/>
    <row r="589" spans="1:37" customHeight="1" ht="15.75"/>
    <row r="590" spans="1:37" customHeight="1" ht="15.75"/>
    <row r="591" spans="1:37" customHeight="1" ht="15.75"/>
    <row r="592" spans="1:37" customHeight="1" ht="15.75"/>
    <row r="593" spans="1:37" customHeight="1" ht="15.75"/>
    <row r="594" spans="1:37" customHeight="1" ht="15.75"/>
    <row r="595" spans="1:37" customHeight="1" ht="15.75"/>
    <row r="596" spans="1:37" customHeight="1" ht="15.75"/>
    <row r="597" spans="1:37" customHeight="1" ht="15.75"/>
    <row r="598" spans="1:37" customHeight="1" ht="15.75"/>
    <row r="599" spans="1:37" customHeight="1" ht="15.75"/>
    <row r="600" spans="1:37" customHeight="1" ht="15.75"/>
    <row r="601" spans="1:37" customHeight="1" ht="15.75"/>
    <row r="602" spans="1:37" customHeight="1" ht="15.75"/>
    <row r="603" spans="1:37" customHeight="1" ht="15.75"/>
    <row r="604" spans="1:37" customHeight="1" ht="15.75"/>
    <row r="605" spans="1:37" customHeight="1" ht="15.75"/>
    <row r="606" spans="1:37" customHeight="1" ht="15.75"/>
    <row r="607" spans="1:37" customHeight="1" ht="15.75"/>
    <row r="608" spans="1:37" customHeight="1" ht="15.75"/>
    <row r="609" spans="1:37" customHeight="1" ht="15.75"/>
    <row r="610" spans="1:37" customHeight="1" ht="15.75"/>
    <row r="611" spans="1:37" customHeight="1" ht="15.75"/>
    <row r="612" spans="1:37" customHeight="1" ht="15.75"/>
    <row r="613" spans="1:37" customHeight="1" ht="15.75"/>
    <row r="614" spans="1:37" customHeight="1" ht="15.75"/>
    <row r="615" spans="1:37" customHeight="1" ht="15.75"/>
    <row r="616" spans="1:37" customHeight="1" ht="15.75"/>
    <row r="617" spans="1:37" customHeight="1" ht="15.75"/>
    <row r="618" spans="1:37" customHeight="1" ht="15.75"/>
    <row r="619" spans="1:37" customHeight="1" ht="15.75"/>
    <row r="620" spans="1:37" customHeight="1" ht="15.75"/>
    <row r="621" spans="1:37" customHeight="1" ht="15.75"/>
    <row r="622" spans="1:37" customHeight="1" ht="15.75"/>
    <row r="623" spans="1:37" customHeight="1" ht="15.75"/>
    <row r="624" spans="1:37" customHeight="1" ht="15.75"/>
    <row r="625" spans="1:37" customHeight="1" ht="15.75"/>
    <row r="626" spans="1:37" customHeight="1" ht="15.75"/>
    <row r="627" spans="1:37" customHeight="1" ht="15.75"/>
    <row r="628" spans="1:37" customHeight="1" ht="15.75"/>
    <row r="629" spans="1:37" customHeight="1" ht="15.75"/>
    <row r="630" spans="1:37" customHeight="1" ht="15.75"/>
    <row r="631" spans="1:37" customHeight="1" ht="15.75"/>
    <row r="632" spans="1:37" customHeight="1" ht="15.75"/>
    <row r="633" spans="1:37" customHeight="1" ht="15.75"/>
    <row r="634" spans="1:37" customHeight="1" ht="15.75"/>
    <row r="635" spans="1:37" customHeight="1" ht="15.75"/>
    <row r="636" spans="1:37" customHeight="1" ht="15.75"/>
    <row r="637" spans="1:37" customHeight="1" ht="15.75"/>
    <row r="638" spans="1:37" customHeight="1" ht="15.75"/>
    <row r="639" spans="1:37" customHeight="1" ht="15.75"/>
    <row r="640" spans="1:37" customHeight="1" ht="15.75"/>
    <row r="641" spans="1:37" customHeight="1" ht="15.75"/>
    <row r="642" spans="1:37" customHeight="1" ht="15.75"/>
    <row r="643" spans="1:37" customHeight="1" ht="15.75"/>
    <row r="644" spans="1:37" customHeight="1" ht="15.75"/>
    <row r="645" spans="1:37" customHeight="1" ht="15.75"/>
    <row r="646" spans="1:37" customHeight="1" ht="15.75"/>
    <row r="647" spans="1:37" customHeight="1" ht="15.75"/>
    <row r="648" spans="1:37" customHeight="1" ht="15.75"/>
    <row r="649" spans="1:37" customHeight="1" ht="15.75"/>
    <row r="650" spans="1:37" customHeight="1" ht="15.75"/>
    <row r="651" spans="1:37" customHeight="1" ht="15.75"/>
    <row r="652" spans="1:37" customHeight="1" ht="15.75"/>
    <row r="653" spans="1:37" customHeight="1" ht="15.75"/>
    <row r="654" spans="1:37" customHeight="1" ht="15.75"/>
    <row r="655" spans="1:37" customHeight="1" ht="15.75"/>
    <row r="656" spans="1:37" customHeight="1" ht="15.75"/>
    <row r="657" spans="1:37" customHeight="1" ht="15.75"/>
    <row r="658" spans="1:37" customHeight="1" ht="15.75"/>
    <row r="659" spans="1:37" customHeight="1" ht="15.75"/>
    <row r="660" spans="1:37" customHeight="1" ht="15.75"/>
    <row r="661" spans="1:37" customHeight="1" ht="15.75"/>
    <row r="662" spans="1:37" customHeight="1" ht="15.75"/>
    <row r="663" spans="1:37" customHeight="1" ht="15.75"/>
    <row r="664" spans="1:37" customHeight="1" ht="15.75"/>
    <row r="665" spans="1:37" customHeight="1" ht="15.75"/>
    <row r="666" spans="1:37" customHeight="1" ht="15.75"/>
    <row r="667" spans="1:37" customHeight="1" ht="15.75"/>
    <row r="668" spans="1:37" customHeight="1" ht="15.75"/>
    <row r="669" spans="1:37" customHeight="1" ht="15.75"/>
    <row r="670" spans="1:37" customHeight="1" ht="15.75"/>
    <row r="671" spans="1:37" customHeight="1" ht="15.75"/>
    <row r="672" spans="1:37" customHeight="1" ht="15.75"/>
    <row r="673" spans="1:37" customHeight="1" ht="15.75"/>
    <row r="674" spans="1:37" customHeight="1" ht="15.75"/>
    <row r="675" spans="1:37" customHeight="1" ht="15.75"/>
    <row r="676" spans="1:37" customHeight="1" ht="15.75"/>
    <row r="677" spans="1:37" customHeight="1" ht="15.75"/>
    <row r="678" spans="1:37" customHeight="1" ht="15.75"/>
    <row r="679" spans="1:37" customHeight="1" ht="15.75"/>
    <row r="680" spans="1:37" customHeight="1" ht="15.75"/>
    <row r="681" spans="1:37" customHeight="1" ht="15.75"/>
    <row r="682" spans="1:37" customHeight="1" ht="15.75"/>
    <row r="683" spans="1:37" customHeight="1" ht="15.75"/>
    <row r="684" spans="1:37" customHeight="1" ht="15.75"/>
    <row r="685" spans="1:37" customHeight="1" ht="15.75"/>
    <row r="686" spans="1:37" customHeight="1" ht="15.75"/>
    <row r="687" spans="1:37" customHeight="1" ht="15.75"/>
    <row r="688" spans="1:37" customHeight="1" ht="15.75"/>
    <row r="689" spans="1:37" customHeight="1" ht="15.75"/>
    <row r="690" spans="1:37" customHeight="1" ht="15.75"/>
    <row r="691" spans="1:37" customHeight="1" ht="15.75"/>
    <row r="692" spans="1:37" customHeight="1" ht="15.75"/>
    <row r="693" spans="1:37" customHeight="1" ht="15.75"/>
    <row r="694" spans="1:37" customHeight="1" ht="15.75"/>
    <row r="695" spans="1:37" customHeight="1" ht="15.75"/>
    <row r="696" spans="1:37" customHeight="1" ht="15.75"/>
    <row r="697" spans="1:37" customHeight="1" ht="15.75"/>
    <row r="698" spans="1:37" customHeight="1" ht="15.75"/>
    <row r="699" spans="1:37" customHeight="1" ht="15.75"/>
    <row r="700" spans="1:37" customHeight="1" ht="15.75"/>
    <row r="701" spans="1:37" customHeight="1" ht="15.75"/>
    <row r="702" spans="1:37" customHeight="1" ht="15.75"/>
    <row r="703" spans="1:37" customHeight="1" ht="15.75"/>
    <row r="704" spans="1:37" customHeight="1" ht="15.75"/>
    <row r="705" spans="1:37" customHeight="1" ht="15.75"/>
    <row r="706" spans="1:37" customHeight="1" ht="15.75"/>
    <row r="707" spans="1:37" customHeight="1" ht="15.75"/>
    <row r="708" spans="1:37" customHeight="1" ht="15.75"/>
    <row r="709" spans="1:37" customHeight="1" ht="15.75"/>
    <row r="710" spans="1:37" customHeight="1" ht="15.75"/>
    <row r="711" spans="1:37" customHeight="1" ht="15.75"/>
    <row r="712" spans="1:37" customHeight="1" ht="15.75"/>
    <row r="713" spans="1:37" customHeight="1" ht="15.75"/>
    <row r="714" spans="1:37" customHeight="1" ht="15.75"/>
    <row r="715" spans="1:37" customHeight="1" ht="15.75"/>
    <row r="716" spans="1:37" customHeight="1" ht="15.75"/>
    <row r="717" spans="1:37" customHeight="1" ht="15.75"/>
    <row r="718" spans="1:37" customHeight="1" ht="15.75"/>
    <row r="719" spans="1:37" customHeight="1" ht="15.75"/>
    <row r="720" spans="1:37" customHeight="1" ht="15.75"/>
    <row r="721" spans="1:37" customHeight="1" ht="15.75"/>
    <row r="722" spans="1:37" customHeight="1" ht="15.75"/>
    <row r="723" spans="1:37" customHeight="1" ht="15.75"/>
    <row r="724" spans="1:37" customHeight="1" ht="15.75"/>
    <row r="725" spans="1:37" customHeight="1" ht="15.75"/>
    <row r="726" spans="1:37" customHeight="1" ht="15.75"/>
    <row r="727" spans="1:37" customHeight="1" ht="15.75"/>
    <row r="728" spans="1:37" customHeight="1" ht="15.75"/>
    <row r="729" spans="1:37" customHeight="1" ht="15.75"/>
    <row r="730" spans="1:37" customHeight="1" ht="15.75"/>
    <row r="731" spans="1:37" customHeight="1" ht="15.75"/>
    <row r="732" spans="1:37" customHeight="1" ht="15.75"/>
    <row r="733" spans="1:37" customHeight="1" ht="15.75"/>
    <row r="734" spans="1:37" customHeight="1" ht="15.75"/>
    <row r="735" spans="1:37" customHeight="1" ht="15.75"/>
    <row r="736" spans="1:37" customHeight="1" ht="15.75"/>
    <row r="737" spans="1:37" customHeight="1" ht="15.75"/>
    <row r="738" spans="1:37" customHeight="1" ht="15.75"/>
    <row r="739" spans="1:37" customHeight="1" ht="15.75"/>
    <row r="740" spans="1:37" customHeight="1" ht="15.75"/>
    <row r="741" spans="1:37" customHeight="1" ht="15.75"/>
    <row r="742" spans="1:37" customHeight="1" ht="15.75"/>
    <row r="743" spans="1:37" customHeight="1" ht="15.75"/>
    <row r="744" spans="1:37" customHeight="1" ht="15.75"/>
    <row r="745" spans="1:37" customHeight="1" ht="15.75"/>
    <row r="746" spans="1:37" customHeight="1" ht="15.75"/>
    <row r="747" spans="1:37" customHeight="1" ht="15.75"/>
    <row r="748" spans="1:37" customHeight="1" ht="15.75"/>
    <row r="749" spans="1:37" customHeight="1" ht="15.75"/>
    <row r="750" spans="1:37" customHeight="1" ht="15.75"/>
    <row r="751" spans="1:37" customHeight="1" ht="15.75"/>
    <row r="752" spans="1:37" customHeight="1" ht="15.75"/>
    <row r="753" spans="1:37" customHeight="1" ht="15.75"/>
    <row r="754" spans="1:37" customHeight="1" ht="15.75"/>
    <row r="755" spans="1:37" customHeight="1" ht="15.75"/>
    <row r="756" spans="1:37" customHeight="1" ht="15.75"/>
    <row r="757" spans="1:37" customHeight="1" ht="15.75"/>
    <row r="758" spans="1:37" customHeight="1" ht="15.75"/>
    <row r="759" spans="1:37" customHeight="1" ht="15.75"/>
    <row r="760" spans="1:37" customHeight="1" ht="15.75"/>
    <row r="761" spans="1:37" customHeight="1" ht="15.75"/>
    <row r="762" spans="1:37" customHeight="1" ht="15.75"/>
    <row r="763" spans="1:37" customHeight="1" ht="15.75"/>
    <row r="764" spans="1:37" customHeight="1" ht="15.75"/>
    <row r="765" spans="1:37" customHeight="1" ht="15.75"/>
    <row r="766" spans="1:37" customHeight="1" ht="15.75"/>
    <row r="767" spans="1:37" customHeight="1" ht="15.75"/>
    <row r="768" spans="1:37" customHeight="1" ht="15.75"/>
    <row r="769" spans="1:37" customHeight="1" ht="15.75"/>
    <row r="770" spans="1:37" customHeight="1" ht="15.75"/>
    <row r="771" spans="1:37" customHeight="1" ht="15.75"/>
    <row r="772" spans="1:37" customHeight="1" ht="15.75"/>
    <row r="773" spans="1:37" customHeight="1" ht="15.75"/>
    <row r="774" spans="1:37" customHeight="1" ht="15.75"/>
    <row r="775" spans="1:37" customHeight="1" ht="15.75"/>
    <row r="776" spans="1:37" customHeight="1" ht="15.75"/>
    <row r="777" spans="1:37" customHeight="1" ht="15.75"/>
    <row r="778" spans="1:37" customHeight="1" ht="15.75"/>
    <row r="779" spans="1:37" customHeight="1" ht="15.75"/>
    <row r="780" spans="1:37" customHeight="1" ht="15.75"/>
    <row r="781" spans="1:37" customHeight="1" ht="15.75"/>
    <row r="782" spans="1:37" customHeight="1" ht="15.75"/>
    <row r="783" spans="1:37" customHeight="1" ht="15.75"/>
    <row r="784" spans="1:37" customHeight="1" ht="15.75"/>
    <row r="785" spans="1:37" customHeight="1" ht="15.75"/>
    <row r="786" spans="1:37" customHeight="1" ht="15.75"/>
    <row r="787" spans="1:37" customHeight="1" ht="15.75"/>
    <row r="788" spans="1:37" customHeight="1" ht="15.75"/>
    <row r="789" spans="1:37" customHeight="1" ht="15.75"/>
    <row r="790" spans="1:37" customHeight="1" ht="15.75"/>
    <row r="791" spans="1:37" customHeight="1" ht="15.75"/>
    <row r="792" spans="1:37" customHeight="1" ht="15.75"/>
    <row r="793" spans="1:37" customHeight="1" ht="15.75"/>
    <row r="794" spans="1:37" customHeight="1" ht="15.75"/>
    <row r="795" spans="1:37" customHeight="1" ht="15.75"/>
    <row r="796" spans="1:37" customHeight="1" ht="15.75"/>
    <row r="797" spans="1:37" customHeight="1" ht="15.75"/>
    <row r="798" spans="1:37" customHeight="1" ht="15.75"/>
    <row r="799" spans="1:37" customHeight="1" ht="15.75"/>
    <row r="800" spans="1:37" customHeight="1" ht="15.75"/>
    <row r="801" spans="1:37" customHeight="1" ht="15.75"/>
    <row r="802" spans="1:37" customHeight="1" ht="15.75"/>
    <row r="803" spans="1:37" customHeight="1" ht="15.75"/>
    <row r="804" spans="1:37" customHeight="1" ht="15.75"/>
    <row r="805" spans="1:37" customHeight="1" ht="15.75"/>
    <row r="806" spans="1:37" customHeight="1" ht="15.75"/>
    <row r="807" spans="1:37" customHeight="1" ht="15.75"/>
    <row r="808" spans="1:37" customHeight="1" ht="15.75"/>
    <row r="809" spans="1:37" customHeight="1" ht="15.75"/>
    <row r="810" spans="1:37" customHeight="1" ht="15.75"/>
    <row r="811" spans="1:37" customHeight="1" ht="15.75"/>
    <row r="812" spans="1:37" customHeight="1" ht="15.75"/>
    <row r="813" spans="1:37" customHeight="1" ht="15.75"/>
    <row r="814" spans="1:37" customHeight="1" ht="15.75"/>
    <row r="815" spans="1:37" customHeight="1" ht="15.75"/>
    <row r="816" spans="1:37" customHeight="1" ht="15.75"/>
    <row r="817" spans="1:37" customHeight="1" ht="15.75"/>
    <row r="818" spans="1:37" customHeight="1" ht="15.75"/>
    <row r="819" spans="1:37" customHeight="1" ht="15.75"/>
    <row r="820" spans="1:37" customHeight="1" ht="15.75"/>
    <row r="821" spans="1:37" customHeight="1" ht="15.75"/>
    <row r="822" spans="1:37" customHeight="1" ht="15.75"/>
    <row r="823" spans="1:37" customHeight="1" ht="15.75"/>
    <row r="824" spans="1:37" customHeight="1" ht="15.75"/>
    <row r="825" spans="1:37" customHeight="1" ht="15.75"/>
    <row r="826" spans="1:37" customHeight="1" ht="15.75"/>
    <row r="827" spans="1:37" customHeight="1" ht="15.75"/>
    <row r="828" spans="1:37" customHeight="1" ht="15.75"/>
    <row r="829" spans="1:37" customHeight="1" ht="15.75"/>
    <row r="830" spans="1:37" customHeight="1" ht="15.75"/>
    <row r="831" spans="1:37" customHeight="1" ht="15.75"/>
    <row r="832" spans="1:37" customHeight="1" ht="15.75"/>
    <row r="833" spans="1:37" customHeight="1" ht="15.75"/>
    <row r="834" spans="1:37" customHeight="1" ht="15.75"/>
    <row r="835" spans="1:37" customHeight="1" ht="15.75"/>
    <row r="836" spans="1:37" customHeight="1" ht="15.75"/>
    <row r="837" spans="1:37" customHeight="1" ht="15.75"/>
    <row r="838" spans="1:37" customHeight="1" ht="15.75"/>
    <row r="839" spans="1:37" customHeight="1" ht="15.75"/>
    <row r="840" spans="1:37" customHeight="1" ht="15.75"/>
    <row r="841" spans="1:37" customHeight="1" ht="15.75"/>
    <row r="842" spans="1:37" customHeight="1" ht="15.75"/>
    <row r="843" spans="1:37" customHeight="1" ht="15.75"/>
    <row r="844" spans="1:37" customHeight="1" ht="15.75"/>
    <row r="845" spans="1:37" customHeight="1" ht="15.75"/>
    <row r="846" spans="1:37" customHeight="1" ht="15.75"/>
    <row r="847" spans="1:37" customHeight="1" ht="15.75"/>
    <row r="848" spans="1:37" customHeight="1" ht="15.75"/>
    <row r="849" spans="1:37" customHeight="1" ht="15.75"/>
    <row r="850" spans="1:37" customHeight="1" ht="15.75"/>
    <row r="851" spans="1:37" customHeight="1" ht="15.75"/>
    <row r="852" spans="1:37" customHeight="1" ht="15.75"/>
    <row r="853" spans="1:37" customHeight="1" ht="15.75"/>
    <row r="854" spans="1:37" customHeight="1" ht="15.75"/>
    <row r="855" spans="1:37" customHeight="1" ht="15.75"/>
    <row r="856" spans="1:37" customHeight="1" ht="15.75"/>
    <row r="857" spans="1:37" customHeight="1" ht="15.75"/>
    <row r="858" spans="1:37" customHeight="1" ht="15.75"/>
    <row r="859" spans="1:37" customHeight="1" ht="15.75"/>
    <row r="860" spans="1:37" customHeight="1" ht="15.75"/>
    <row r="861" spans="1:37" customHeight="1" ht="15.75"/>
    <row r="862" spans="1:37" customHeight="1" ht="15.75"/>
    <row r="863" spans="1:37" customHeight="1" ht="15.75"/>
    <row r="864" spans="1:37" customHeight="1" ht="15.75"/>
    <row r="865" spans="1:37" customHeight="1" ht="15.75"/>
    <row r="866" spans="1:37" customHeight="1" ht="15.75"/>
    <row r="867" spans="1:37" customHeight="1" ht="15.75"/>
    <row r="868" spans="1:37" customHeight="1" ht="15.75"/>
    <row r="869" spans="1:37" customHeight="1" ht="15.75"/>
    <row r="870" spans="1:37" customHeight="1" ht="15.75"/>
    <row r="871" spans="1:37" customHeight="1" ht="15.75"/>
    <row r="872" spans="1:37" customHeight="1" ht="15.75"/>
    <row r="873" spans="1:37" customHeight="1" ht="15.75"/>
    <row r="874" spans="1:37" customHeight="1" ht="15.75"/>
    <row r="875" spans="1:37" customHeight="1" ht="15.75"/>
    <row r="876" spans="1:37" customHeight="1" ht="15.75"/>
    <row r="877" spans="1:37" customHeight="1" ht="15.75"/>
    <row r="878" spans="1:37" customHeight="1" ht="15.75"/>
    <row r="879" spans="1:37" customHeight="1" ht="15.75"/>
    <row r="880" spans="1:37" customHeight="1" ht="15.75"/>
    <row r="881" spans="1:37" customHeight="1" ht="15.75"/>
    <row r="882" spans="1:37" customHeight="1" ht="15.75"/>
    <row r="883" spans="1:37" customHeight="1" ht="15.75"/>
    <row r="884" spans="1:37" customHeight="1" ht="15.75"/>
    <row r="885" spans="1:37" customHeight="1" ht="15.75"/>
    <row r="886" spans="1:37" customHeight="1" ht="15.75"/>
    <row r="887" spans="1:37" customHeight="1" ht="15.75"/>
    <row r="888" spans="1:37" customHeight="1" ht="15.75"/>
    <row r="889" spans="1:37" customHeight="1" ht="15.75"/>
    <row r="890" spans="1:37" customHeight="1" ht="15.75"/>
    <row r="891" spans="1:37" customHeight="1" ht="15.75"/>
    <row r="892" spans="1:37" customHeight="1" ht="15.75"/>
    <row r="893" spans="1:37" customHeight="1" ht="15.75"/>
    <row r="894" spans="1:37" customHeight="1" ht="15.75"/>
    <row r="895" spans="1:37" customHeight="1" ht="15.75"/>
    <row r="896" spans="1:37" customHeight="1" ht="15.75"/>
    <row r="897" spans="1:37" customHeight="1" ht="15.75"/>
    <row r="898" spans="1:37" customHeight="1" ht="15.75"/>
    <row r="899" spans="1:37" customHeight="1" ht="15.75"/>
    <row r="900" spans="1:37" customHeight="1" ht="15.75"/>
    <row r="901" spans="1:37" customHeight="1" ht="15.75"/>
    <row r="902" spans="1:37" customHeight="1" ht="15.75"/>
    <row r="903" spans="1:37" customHeight="1" ht="15.75"/>
    <row r="904" spans="1:37" customHeight="1" ht="15.75"/>
    <row r="905" spans="1:37" customHeight="1" ht="15.75"/>
    <row r="906" spans="1:37" customHeight="1" ht="15.75"/>
    <row r="907" spans="1:37" customHeight="1" ht="15.75"/>
    <row r="908" spans="1:37" customHeight="1" ht="15.75"/>
    <row r="909" spans="1:37" customHeight="1" ht="15.75"/>
    <row r="910" spans="1:37" customHeight="1" ht="15.75"/>
    <row r="911" spans="1:37" customHeight="1" ht="15.75"/>
    <row r="912" spans="1:37" customHeight="1" ht="15.75"/>
    <row r="913" spans="1:37" customHeight="1" ht="15.75"/>
    <row r="914" spans="1:37" customHeight="1" ht="15.75"/>
    <row r="915" spans="1:37" customHeight="1" ht="15.75"/>
    <row r="916" spans="1:37" customHeight="1" ht="15.75"/>
    <row r="917" spans="1:37" customHeight="1" ht="15.75"/>
    <row r="918" spans="1:37" customHeight="1" ht="15.75"/>
    <row r="919" spans="1:37" customHeight="1" ht="15.75"/>
    <row r="920" spans="1:37" customHeight="1" ht="15.75"/>
    <row r="921" spans="1:37" customHeight="1" ht="15.75"/>
    <row r="922" spans="1:37" customHeight="1" ht="15.75"/>
    <row r="923" spans="1:37" customHeight="1" ht="15.75"/>
    <row r="924" spans="1:37" customHeight="1" ht="15.75"/>
    <row r="925" spans="1:37" customHeight="1" ht="15.75"/>
    <row r="926" spans="1:37" customHeight="1" ht="15.75"/>
    <row r="927" spans="1:37" customHeight="1" ht="15.75"/>
    <row r="928" spans="1:37" customHeight="1" ht="15.75"/>
    <row r="929" spans="1:37" customHeight="1" ht="15.75"/>
    <row r="930" spans="1:37" customHeight="1" ht="15.75"/>
    <row r="931" spans="1:37" customHeight="1" ht="15.75"/>
    <row r="932" spans="1:37" customHeight="1" ht="15.75"/>
    <row r="933" spans="1:37" customHeight="1" ht="15.75"/>
    <row r="934" spans="1:37" customHeight="1" ht="15.75"/>
    <row r="935" spans="1:37" customHeight="1" ht="15.75"/>
    <row r="936" spans="1:37" customHeight="1" ht="15.75"/>
    <row r="937" spans="1:37" customHeight="1" ht="15.75"/>
    <row r="938" spans="1:37" customHeight="1" ht="15.75"/>
    <row r="939" spans="1:37" customHeight="1" ht="15.75"/>
    <row r="940" spans="1:37" customHeight="1" ht="15.75"/>
    <row r="941" spans="1:37" customHeight="1" ht="15.75"/>
    <row r="942" spans="1:37" customHeight="1" ht="15.75"/>
    <row r="943" spans="1:37" customHeight="1" ht="15.75"/>
    <row r="944" spans="1:37" customHeight="1" ht="15.75"/>
    <row r="945" spans="1:37" customHeight="1" ht="15.75"/>
    <row r="946" spans="1:37" customHeight="1" ht="15.75"/>
    <row r="947" spans="1:37" customHeight="1" ht="15.75"/>
    <row r="948" spans="1:37" customHeight="1" ht="15.75"/>
    <row r="949" spans="1:37" customHeight="1" ht="15.75"/>
    <row r="950" spans="1:37" customHeight="1" ht="15.75"/>
    <row r="951" spans="1:37" customHeight="1" ht="15.75"/>
    <row r="952" spans="1:37" customHeight="1" ht="15.75"/>
    <row r="953" spans="1:37" customHeight="1" ht="15.75"/>
    <row r="954" spans="1:37" customHeight="1" ht="15.75"/>
    <row r="955" spans="1:37" customHeight="1" ht="15.75"/>
    <row r="956" spans="1:37" customHeight="1" ht="15.75"/>
    <row r="957" spans="1:37" customHeight="1" ht="15.75"/>
    <row r="958" spans="1:37" customHeight="1" ht="15.75"/>
    <row r="959" spans="1:37" customHeight="1" ht="15.75"/>
    <row r="960" spans="1:37" customHeight="1" ht="15.75"/>
    <row r="961" spans="1:37" customHeight="1" ht="15.75"/>
    <row r="962" spans="1:37" customHeight="1" ht="15.75"/>
    <row r="963" spans="1:37" customHeight="1" ht="15.75"/>
    <row r="964" spans="1:37" customHeight="1" ht="15.75"/>
    <row r="965" spans="1:37" customHeight="1" ht="15.75"/>
    <row r="966" spans="1:37" customHeight="1" ht="15.75"/>
    <row r="967" spans="1:37" customHeight="1" ht="15.75"/>
    <row r="968" spans="1:37" customHeight="1" ht="15.75"/>
    <row r="969" spans="1:37" customHeight="1" ht="15.75"/>
    <row r="970" spans="1:37" customHeight="1" ht="15.75"/>
    <row r="971" spans="1:37" customHeight="1" ht="15.75"/>
    <row r="972" spans="1:37" customHeight="1" ht="15.75"/>
    <row r="973" spans="1:37" customHeight="1" ht="15.75"/>
    <row r="974" spans="1:37" customHeight="1" ht="15.75"/>
    <row r="975" spans="1:37" customHeight="1" ht="15.75"/>
    <row r="976" spans="1:37" customHeight="1" ht="15.75"/>
    <row r="977" spans="1:37" customHeight="1" ht="15.75"/>
    <row r="978" spans="1:37" customHeight="1" ht="15.75"/>
    <row r="979" spans="1:37" customHeight="1" ht="15.75"/>
    <row r="980" spans="1:37" customHeight="1" ht="15.75"/>
    <row r="981" spans="1:37" customHeight="1" ht="15.75"/>
    <row r="982" spans="1:37" customHeight="1" ht="15.75"/>
    <row r="983" spans="1:37" customHeight="1" ht="15.75"/>
    <row r="984" spans="1:37" customHeight="1" ht="15.75"/>
    <row r="985" spans="1:37" customHeight="1" ht="15.75"/>
    <row r="986" spans="1:37" customHeight="1" ht="15.75"/>
    <row r="987" spans="1:37" customHeight="1" ht="15.75"/>
    <row r="988" spans="1:37" customHeight="1" ht="15.75"/>
    <row r="989" spans="1:37" customHeight="1" ht="15.75"/>
    <row r="990" spans="1:37" customHeight="1" ht="15.75"/>
    <row r="991" spans="1:37" customHeight="1" ht="15.75"/>
    <row r="992" spans="1:37" customHeight="1" ht="15.75"/>
    <row r="993" spans="1:37" customHeight="1" ht="15.75"/>
    <row r="994" spans="1:37" customHeight="1" ht="15.75"/>
    <row r="995" spans="1:37" customHeight="1" ht="15.75"/>
    <row r="996" spans="1:37" customHeight="1" ht="15.75"/>
    <row r="997" spans="1:37" customHeight="1" ht="15.75"/>
    <row r="998" spans="1:37" customHeight="1" ht="15.75"/>
    <row r="999" spans="1:37" customHeight="1" ht="15.75"/>
    <row r="1000" spans="1:37" customHeight="1" ht="15.75"/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18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">
      <c r="A1" s="27"/>
      <c r="B1" s="124"/>
      <c r="C1" s="2"/>
      <c r="D1" s="2"/>
      <c r="E1" s="2"/>
      <c r="F1" s="2"/>
      <c r="G1" s="28"/>
      <c r="H1" s="28"/>
      <c r="I1" s="28"/>
      <c r="J1" s="28"/>
      <c r="K1" s="29"/>
      <c r="L1" s="2"/>
      <c r="M1" s="30"/>
      <c r="N1" s="31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3"/>
      <c r="AI1" s="33"/>
      <c r="AJ1" s="33"/>
      <c r="AK1" s="32"/>
    </row>
    <row r="2" spans="1:37" customHeight="1" ht="15">
      <c r="A2" s="27"/>
      <c r="B2" s="113"/>
      <c r="C2" s="125"/>
      <c r="D2" s="113"/>
      <c r="E2" s="113"/>
      <c r="F2" s="2"/>
      <c r="G2" s="121" t="s">
        <v>0</v>
      </c>
      <c r="H2" s="113"/>
      <c r="I2" s="113"/>
      <c r="J2" s="113"/>
      <c r="K2" s="29" t="s">
        <v>1</v>
      </c>
      <c r="L2" s="2"/>
      <c r="M2" s="30">
        <v>2025</v>
      </c>
      <c r="N2" s="31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126" t="s">
        <v>2</v>
      </c>
      <c r="AI2" s="113"/>
      <c r="AJ2" s="113"/>
      <c r="AK2" s="32"/>
    </row>
    <row r="3" spans="1:37" customHeight="1" ht="15">
      <c r="A3" s="27"/>
      <c r="B3" s="113"/>
      <c r="C3" s="113"/>
      <c r="D3" s="113"/>
      <c r="E3" s="113"/>
      <c r="F3" s="2"/>
      <c r="G3" s="121" t="s">
        <v>3</v>
      </c>
      <c r="H3" s="113"/>
      <c r="I3" s="113"/>
      <c r="J3" s="113"/>
      <c r="K3" s="29" t="s">
        <v>4</v>
      </c>
      <c r="L3" s="34"/>
      <c r="M3" s="31"/>
      <c r="N3" s="31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113"/>
      <c r="AI3" s="113"/>
      <c r="AJ3" s="113"/>
      <c r="AK3" s="32"/>
    </row>
    <row r="4" spans="1:37" customHeight="1" ht="15">
      <c r="A4" s="27"/>
      <c r="B4" s="113"/>
      <c r="C4" s="113"/>
      <c r="D4" s="113"/>
      <c r="E4" s="113"/>
      <c r="F4" s="2"/>
      <c r="G4" s="121" t="s">
        <v>5</v>
      </c>
      <c r="H4" s="113"/>
      <c r="I4" s="113"/>
      <c r="J4" s="113"/>
      <c r="K4" s="29" t="s">
        <v>4</v>
      </c>
      <c r="L4" s="34"/>
      <c r="M4" s="31"/>
      <c r="N4" s="31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113"/>
      <c r="AI4" s="113"/>
      <c r="AJ4" s="113"/>
      <c r="AK4" s="32"/>
    </row>
    <row r="5" spans="1:37" customHeight="1" ht="15">
      <c r="A5" s="27"/>
      <c r="B5" s="113"/>
      <c r="C5" s="113"/>
      <c r="D5" s="113"/>
      <c r="E5" s="113"/>
      <c r="F5" s="2"/>
      <c r="G5" s="121" t="s">
        <v>6</v>
      </c>
      <c r="H5" s="113"/>
      <c r="I5" s="113"/>
      <c r="J5" s="113"/>
      <c r="K5" s="29" t="s">
        <v>4</v>
      </c>
      <c r="L5" s="34"/>
      <c r="M5" s="31"/>
      <c r="N5" s="31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113"/>
      <c r="AI5" s="113"/>
      <c r="AJ5" s="113"/>
      <c r="AK5" s="32"/>
    </row>
    <row r="6" spans="1:37" customHeight="1" ht="15">
      <c r="A6" s="27"/>
      <c r="B6" s="113"/>
      <c r="C6" s="113"/>
      <c r="D6" s="113"/>
      <c r="E6" s="113"/>
      <c r="F6" s="2"/>
      <c r="G6" s="121" t="s">
        <v>7</v>
      </c>
      <c r="H6" s="113"/>
      <c r="I6" s="113"/>
      <c r="J6" s="113"/>
      <c r="K6" s="29" t="s">
        <v>4</v>
      </c>
      <c r="L6" s="34"/>
      <c r="M6" s="31"/>
      <c r="N6" s="31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113"/>
      <c r="AI6" s="113"/>
      <c r="AJ6" s="113"/>
      <c r="AK6" s="32"/>
    </row>
    <row r="7" spans="1:37" customHeight="1" ht="15">
      <c r="A7" s="27"/>
      <c r="B7" s="113"/>
      <c r="C7" s="113"/>
      <c r="D7" s="113"/>
      <c r="E7" s="113"/>
      <c r="F7" s="2"/>
      <c r="G7" s="121" t="s">
        <v>8</v>
      </c>
      <c r="H7" s="113"/>
      <c r="I7" s="113"/>
      <c r="J7" s="113"/>
      <c r="K7" s="29" t="s">
        <v>4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113"/>
      <c r="AI7" s="113"/>
      <c r="AJ7" s="113"/>
      <c r="AK7" s="32"/>
    </row>
    <row r="8" spans="1:37" customHeight="1" ht="15">
      <c r="A8" s="27"/>
      <c r="B8" s="113"/>
      <c r="C8" s="2"/>
      <c r="D8" s="2"/>
      <c r="E8" s="2"/>
      <c r="F8" s="2"/>
      <c r="G8" s="2"/>
      <c r="H8" s="2"/>
      <c r="I8" s="35"/>
      <c r="J8" s="122" t="s">
        <v>9</v>
      </c>
      <c r="K8" s="113"/>
      <c r="L8" s="113"/>
      <c r="M8" s="113"/>
      <c r="N8" s="113"/>
      <c r="O8" s="113"/>
      <c r="P8" s="113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</row>
    <row r="9" spans="1:37" customHeight="1" ht="15">
      <c r="A9" s="123" t="s">
        <v>10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7"/>
    </row>
    <row r="10" spans="1:37" customHeight="1" ht="15">
      <c r="A10" s="36" t="s">
        <v>11</v>
      </c>
      <c r="B10" s="36" t="s">
        <v>12</v>
      </c>
      <c r="C10" s="36" t="s">
        <v>13</v>
      </c>
      <c r="D10" s="36" t="s">
        <v>14</v>
      </c>
      <c r="E10" s="36" t="s">
        <v>15</v>
      </c>
      <c r="F10" s="36" t="s">
        <v>16</v>
      </c>
      <c r="G10" s="36" t="s">
        <v>17</v>
      </c>
      <c r="H10" s="36" t="s">
        <v>18</v>
      </c>
      <c r="I10" s="36" t="s">
        <v>19</v>
      </c>
      <c r="J10" s="36" t="s">
        <v>20</v>
      </c>
      <c r="K10" s="36" t="s">
        <v>21</v>
      </c>
      <c r="L10" s="36" t="s">
        <v>22</v>
      </c>
      <c r="M10" s="36" t="s">
        <v>23</v>
      </c>
      <c r="N10" s="36" t="s">
        <v>24</v>
      </c>
      <c r="O10" s="36" t="s">
        <v>25</v>
      </c>
      <c r="P10" s="36" t="s">
        <v>26</v>
      </c>
      <c r="Q10" s="36" t="s">
        <v>27</v>
      </c>
      <c r="R10" s="36" t="s">
        <v>28</v>
      </c>
      <c r="S10" s="36" t="s">
        <v>29</v>
      </c>
      <c r="T10" s="36" t="s">
        <v>30</v>
      </c>
      <c r="U10" s="36" t="s">
        <v>31</v>
      </c>
      <c r="V10" s="36" t="s">
        <v>32</v>
      </c>
      <c r="W10" s="36" t="s">
        <v>33</v>
      </c>
      <c r="X10" s="36" t="s">
        <v>34</v>
      </c>
      <c r="Y10" s="36" t="s">
        <v>35</v>
      </c>
      <c r="Z10" s="36" t="s">
        <v>36</v>
      </c>
      <c r="AA10" s="36" t="s">
        <v>37</v>
      </c>
      <c r="AB10" s="36" t="s">
        <v>38</v>
      </c>
      <c r="AC10" s="36" t="s">
        <v>39</v>
      </c>
      <c r="AD10" s="36" t="s">
        <v>40</v>
      </c>
      <c r="AE10" s="36" t="s">
        <v>41</v>
      </c>
      <c r="AF10" s="36" t="s">
        <v>42</v>
      </c>
      <c r="AG10" s="36" t="s">
        <v>43</v>
      </c>
      <c r="AH10" s="36" t="s">
        <v>44</v>
      </c>
      <c r="AI10" s="36" t="s">
        <v>45</v>
      </c>
      <c r="AJ10" s="36" t="s">
        <v>46</v>
      </c>
      <c r="AK10" s="36" t="s">
        <v>47</v>
      </c>
    </row>
    <row r="11" spans="1:37" customHeight="1" ht="15">
      <c r="A11" s="37" t="s">
        <v>48</v>
      </c>
      <c r="B11" s="38" t="s">
        <v>49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</row>
    <row r="12" spans="1:37" customHeight="1" ht="15">
      <c r="A12" s="40" t="s">
        <v>50</v>
      </c>
      <c r="B12" s="41" t="s">
        <v>51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39"/>
      <c r="AJ12" s="39"/>
      <c r="AK12" s="39"/>
    </row>
    <row r="13" spans="1:37" customHeight="1" ht="15">
      <c r="A13" s="40" t="s">
        <v>52</v>
      </c>
      <c r="B13" s="41" t="s">
        <v>53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39"/>
      <c r="AJ13" s="39"/>
      <c r="AK13" s="39"/>
    </row>
    <row r="14" spans="1:37" customHeight="1" ht="15">
      <c r="A14" s="40" t="s">
        <v>54</v>
      </c>
      <c r="B14" s="41" t="s">
        <v>55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39"/>
      <c r="AJ14" s="39"/>
      <c r="AK14" s="39"/>
    </row>
    <row r="15" spans="1:37" customHeight="1" ht="15">
      <c r="A15" s="40" t="s">
        <v>56</v>
      </c>
      <c r="B15" s="41" t="s">
        <v>57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39"/>
      <c r="AJ15" s="39"/>
      <c r="AK15" s="39"/>
    </row>
    <row r="16" spans="1:37" customHeight="1" ht="15">
      <c r="A16" s="40" t="s">
        <v>58</v>
      </c>
      <c r="B16" s="41" t="s">
        <v>59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39"/>
      <c r="AJ16" s="39"/>
      <c r="AK16" s="39"/>
    </row>
    <row r="17" spans="1:37" customHeight="1" ht="15">
      <c r="A17" s="40" t="s">
        <v>700</v>
      </c>
      <c r="B17" s="41" t="s">
        <v>701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39"/>
      <c r="AJ17" s="39"/>
      <c r="AK17" s="39"/>
    </row>
    <row r="18" spans="1:37" customHeight="1" ht="15">
      <c r="A18" s="40" t="s">
        <v>702</v>
      </c>
      <c r="B18" s="41" t="s">
        <v>701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39"/>
      <c r="AJ18" s="39"/>
      <c r="AK18" s="39"/>
    </row>
    <row r="19" spans="1:37" customHeight="1" ht="15">
      <c r="A19" s="40" t="s">
        <v>60</v>
      </c>
      <c r="B19" s="41" t="s">
        <v>61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39"/>
      <c r="AJ19" s="39"/>
      <c r="AK19" s="39"/>
    </row>
    <row r="20" spans="1:37" customHeight="1" ht="15">
      <c r="A20" s="40" t="s">
        <v>62</v>
      </c>
      <c r="B20" s="41" t="s">
        <v>63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39"/>
      <c r="AJ20" s="39"/>
      <c r="AK20" s="39"/>
    </row>
    <row r="21" spans="1:37" customHeight="1" ht="15">
      <c r="A21" s="40" t="s">
        <v>64</v>
      </c>
      <c r="B21" s="41" t="s">
        <v>65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39"/>
      <c r="AJ21" s="39"/>
      <c r="AK21" s="39"/>
    </row>
    <row r="22" spans="1:37" customHeight="1" ht="15">
      <c r="A22" s="40" t="s">
        <v>66</v>
      </c>
      <c r="B22" s="41" t="s">
        <v>67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39"/>
      <c r="AJ22" s="39"/>
      <c r="AK22" s="39"/>
    </row>
    <row r="23" spans="1:37" customHeight="1" ht="15">
      <c r="A23" s="40" t="s">
        <v>68</v>
      </c>
      <c r="B23" s="41" t="s">
        <v>69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39"/>
      <c r="AJ23" s="39"/>
      <c r="AK23" s="39"/>
    </row>
    <row r="24" spans="1:37" customHeight="1" ht="15">
      <c r="A24" s="40" t="s">
        <v>703</v>
      </c>
      <c r="B24" s="41" t="s">
        <v>704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39"/>
      <c r="AJ24" s="39"/>
      <c r="AK24" s="39"/>
    </row>
    <row r="25" spans="1:37" customHeight="1" ht="15">
      <c r="A25" s="40" t="s">
        <v>70</v>
      </c>
      <c r="B25" s="41" t="s">
        <v>71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39"/>
      <c r="AJ25" s="39"/>
      <c r="AK25" s="39"/>
    </row>
    <row r="26" spans="1:37" customHeight="1" ht="15">
      <c r="A26" s="40" t="s">
        <v>72</v>
      </c>
      <c r="B26" s="41" t="s">
        <v>73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39"/>
      <c r="AJ26" s="39"/>
      <c r="AK26" s="39"/>
    </row>
    <row r="27" spans="1:37" customHeight="1" ht="15">
      <c r="A27" s="40" t="s">
        <v>74</v>
      </c>
      <c r="B27" s="41" t="s">
        <v>75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39"/>
      <c r="AJ27" s="39"/>
      <c r="AK27" s="39"/>
    </row>
    <row r="28" spans="1:37" customHeight="1" ht="15">
      <c r="A28" s="40" t="s">
        <v>76</v>
      </c>
      <c r="B28" s="41" t="s">
        <v>77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39"/>
      <c r="AJ28" s="39"/>
      <c r="AK28" s="39"/>
    </row>
    <row r="29" spans="1:37" customHeight="1" ht="15">
      <c r="A29" s="40" t="s">
        <v>78</v>
      </c>
      <c r="B29" s="41" t="s">
        <v>79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39"/>
      <c r="AJ29" s="39"/>
      <c r="AK29" s="39"/>
    </row>
    <row r="30" spans="1:37" customHeight="1" ht="15">
      <c r="A30" s="40" t="s">
        <v>80</v>
      </c>
      <c r="B30" s="41" t="s">
        <v>81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39"/>
      <c r="AJ30" s="39"/>
      <c r="AK30" s="39"/>
    </row>
    <row r="31" spans="1:37" customHeight="1" ht="15">
      <c r="A31" s="40" t="s">
        <v>82</v>
      </c>
      <c r="B31" s="41" t="s">
        <v>83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39"/>
      <c r="AJ31" s="39"/>
      <c r="AK31" s="39"/>
    </row>
    <row r="32" spans="1:37" customHeight="1" ht="15">
      <c r="A32" s="40" t="s">
        <v>84</v>
      </c>
      <c r="B32" s="41" t="s">
        <v>85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39"/>
      <c r="AJ32" s="39"/>
      <c r="AK32" s="39"/>
    </row>
    <row r="33" spans="1:37">
      <c r="A33" s="40" t="s">
        <v>86</v>
      </c>
      <c r="B33" s="41" t="s">
        <v>87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39"/>
      <c r="AJ33" s="39"/>
      <c r="AK33" s="39"/>
    </row>
    <row r="34" spans="1:37">
      <c r="A34" s="40" t="s">
        <v>88</v>
      </c>
      <c r="B34" s="41" t="s">
        <v>89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39"/>
      <c r="AJ34" s="39"/>
      <c r="AK34" s="39"/>
    </row>
    <row r="35" spans="1:37">
      <c r="A35" s="40" t="s">
        <v>90</v>
      </c>
      <c r="B35" s="41" t="s">
        <v>91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39"/>
      <c r="AJ35" s="39"/>
      <c r="AK35" s="39"/>
    </row>
    <row r="36" spans="1:37">
      <c r="A36" s="40" t="s">
        <v>92</v>
      </c>
      <c r="B36" s="41" t="s">
        <v>93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39"/>
      <c r="AJ36" s="39"/>
      <c r="AK36" s="39"/>
    </row>
    <row r="37" spans="1:37" customHeight="1" ht="30">
      <c r="A37" s="40" t="s">
        <v>94</v>
      </c>
      <c r="B37" s="41" t="s">
        <v>95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39"/>
      <c r="AJ37" s="39"/>
      <c r="AK37" s="39"/>
    </row>
    <row r="38" spans="1:37" customHeight="1" ht="30">
      <c r="A38" s="40" t="s">
        <v>96</v>
      </c>
      <c r="B38" s="41" t="s">
        <v>97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39"/>
      <c r="AJ38" s="39"/>
      <c r="AK38" s="39"/>
    </row>
    <row r="39" spans="1:37">
      <c r="A39" s="40" t="s">
        <v>98</v>
      </c>
      <c r="B39" s="41" t="s">
        <v>99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39"/>
      <c r="AJ39" s="39"/>
      <c r="AK39" s="39"/>
    </row>
    <row r="40" spans="1:37">
      <c r="A40" s="40" t="s">
        <v>100</v>
      </c>
      <c r="B40" s="41" t="s">
        <v>101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39"/>
      <c r="AJ40" s="39"/>
      <c r="AK40" s="39"/>
    </row>
    <row r="41" spans="1:37">
      <c r="A41" s="40" t="s">
        <v>102</v>
      </c>
      <c r="B41" s="41" t="s">
        <v>103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39"/>
      <c r="AJ41" s="39"/>
      <c r="AK41" s="39"/>
    </row>
    <row r="42" spans="1:37">
      <c r="A42" s="40" t="s">
        <v>104</v>
      </c>
      <c r="B42" s="41" t="s">
        <v>105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39"/>
      <c r="AJ42" s="39"/>
      <c r="AK42" s="39"/>
    </row>
    <row r="43" spans="1:37">
      <c r="A43" s="40" t="s">
        <v>106</v>
      </c>
      <c r="B43" s="41" t="s">
        <v>107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39"/>
      <c r="AJ43" s="39"/>
      <c r="AK43" s="39"/>
    </row>
    <row r="44" spans="1:37">
      <c r="A44" s="40" t="s">
        <v>108</v>
      </c>
      <c r="B44" s="41" t="s">
        <v>109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39"/>
      <c r="AJ44" s="39"/>
      <c r="AK44" s="39"/>
    </row>
    <row r="45" spans="1:37">
      <c r="A45" s="40" t="s">
        <v>110</v>
      </c>
      <c r="B45" s="41" t="s">
        <v>111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39"/>
      <c r="AJ45" s="39"/>
      <c r="AK45" s="39"/>
    </row>
    <row r="46" spans="1:37">
      <c r="A46" s="40" t="s">
        <v>705</v>
      </c>
      <c r="B46" s="41" t="s">
        <v>706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39"/>
      <c r="AJ46" s="39"/>
      <c r="AK46" s="39"/>
    </row>
    <row r="47" spans="1:37" customHeight="1" ht="30">
      <c r="A47" s="40" t="s">
        <v>112</v>
      </c>
      <c r="B47" s="41" t="s">
        <v>113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39"/>
      <c r="AJ47" s="39"/>
      <c r="AK47" s="39"/>
    </row>
    <row r="48" spans="1:37">
      <c r="A48" s="40" t="s">
        <v>114</v>
      </c>
      <c r="B48" s="41" t="s">
        <v>115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39"/>
      <c r="AJ48" s="39"/>
      <c r="AK48" s="39"/>
    </row>
    <row r="49" spans="1:37">
      <c r="A49" s="40" t="s">
        <v>116</v>
      </c>
      <c r="B49" s="41" t="s">
        <v>117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39"/>
      <c r="AJ49" s="39"/>
      <c r="AK49" s="39"/>
    </row>
    <row r="50" spans="1:37">
      <c r="A50" s="40" t="s">
        <v>118</v>
      </c>
      <c r="B50" s="41" t="s">
        <v>119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39"/>
      <c r="AJ50" s="39"/>
      <c r="AK50" s="39"/>
    </row>
    <row r="51" spans="1:37">
      <c r="A51" s="40" t="s">
        <v>120</v>
      </c>
      <c r="B51" s="41" t="s">
        <v>121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39"/>
      <c r="AJ51" s="39"/>
      <c r="AK51" s="39"/>
    </row>
    <row r="52" spans="1:37">
      <c r="A52" s="40" t="s">
        <v>707</v>
      </c>
      <c r="B52" s="41" t="s">
        <v>708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39"/>
      <c r="AJ52" s="39"/>
      <c r="AK52" s="39"/>
    </row>
    <row r="53" spans="1:37">
      <c r="A53" s="40" t="s">
        <v>122</v>
      </c>
      <c r="B53" s="41" t="s">
        <v>123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/>
      <c r="AK53" s="39"/>
    </row>
    <row r="54" spans="1:37">
      <c r="A54" s="40" t="s">
        <v>709</v>
      </c>
      <c r="B54" s="41" t="s">
        <v>710</v>
      </c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/>
      <c r="AK54" s="39"/>
    </row>
    <row r="55" spans="1:37" customHeight="1" ht="30">
      <c r="A55" s="40" t="s">
        <v>128</v>
      </c>
      <c r="B55" s="41" t="s">
        <v>711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/>
      <c r="AK55" s="39"/>
    </row>
    <row r="56" spans="1:37" customHeight="1" ht="30">
      <c r="A56" s="40" t="s">
        <v>130</v>
      </c>
      <c r="B56" s="41" t="s">
        <v>131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/>
      <c r="AK56" s="39"/>
    </row>
    <row r="57" spans="1:37">
      <c r="A57" s="40" t="s">
        <v>132</v>
      </c>
      <c r="B57" s="41" t="s">
        <v>133</v>
      </c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/>
      <c r="AK57" s="39"/>
    </row>
    <row r="58" spans="1:37" customHeight="1" ht="42.75">
      <c r="A58" s="40" t="s">
        <v>134</v>
      </c>
      <c r="B58" s="41" t="s">
        <v>135</v>
      </c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39"/>
      <c r="AJ58" s="39"/>
      <c r="AK58" s="39"/>
    </row>
    <row r="59" spans="1:37">
      <c r="A59" s="40" t="s">
        <v>136</v>
      </c>
      <c r="B59" s="41" t="s">
        <v>137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39"/>
      <c r="AJ59" s="39"/>
      <c r="AK59" s="39"/>
    </row>
    <row r="60" spans="1:37">
      <c r="A60" s="40" t="s">
        <v>138</v>
      </c>
      <c r="B60" s="41" t="s">
        <v>139</v>
      </c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39"/>
      <c r="AJ60" s="39"/>
      <c r="AK60" s="39"/>
    </row>
    <row r="61" spans="1:37">
      <c r="A61" s="40" t="s">
        <v>140</v>
      </c>
      <c r="B61" s="41" t="s">
        <v>141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39"/>
      <c r="AJ61" s="39"/>
      <c r="AK61" s="39"/>
    </row>
    <row r="62" spans="1:37">
      <c r="A62" s="40" t="s">
        <v>142</v>
      </c>
      <c r="B62" s="41" t="s">
        <v>143</v>
      </c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39"/>
      <c r="AJ62" s="39"/>
      <c r="AK62" s="39"/>
    </row>
    <row r="63" spans="1:37">
      <c r="A63" s="40" t="s">
        <v>144</v>
      </c>
      <c r="B63" s="41" t="s">
        <v>145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39"/>
      <c r="AJ63" s="39"/>
      <c r="AK63" s="39"/>
    </row>
    <row r="64" spans="1:37">
      <c r="A64" s="40" t="s">
        <v>146</v>
      </c>
      <c r="B64" s="41" t="s">
        <v>147</v>
      </c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39"/>
      <c r="AJ64" s="39"/>
      <c r="AK64" s="39"/>
    </row>
    <row r="65" spans="1:37">
      <c r="A65" s="40" t="s">
        <v>148</v>
      </c>
      <c r="B65" s="41" t="s">
        <v>149</v>
      </c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39"/>
      <c r="AJ65" s="39"/>
      <c r="AK65" s="39"/>
    </row>
    <row r="66" spans="1:37">
      <c r="A66" s="40" t="s">
        <v>150</v>
      </c>
      <c r="B66" s="41" t="s">
        <v>151</v>
      </c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39"/>
      <c r="AJ66" s="39"/>
      <c r="AK66" s="39"/>
    </row>
    <row r="67" spans="1:37">
      <c r="A67" s="40" t="s">
        <v>152</v>
      </c>
      <c r="B67" s="41" t="s">
        <v>153</v>
      </c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39"/>
      <c r="AJ67" s="39"/>
      <c r="AK67" s="39"/>
    </row>
    <row r="68" spans="1:37">
      <c r="A68" s="40" t="s">
        <v>154</v>
      </c>
      <c r="B68" s="41" t="s">
        <v>155</v>
      </c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39"/>
      <c r="AJ68" s="39"/>
      <c r="AK68" s="39"/>
    </row>
    <row r="69" spans="1:37">
      <c r="A69" s="40" t="s">
        <v>156</v>
      </c>
      <c r="B69" s="41" t="s">
        <v>157</v>
      </c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39"/>
      <c r="AJ69" s="39"/>
      <c r="AK69" s="39"/>
    </row>
    <row r="70" spans="1:37" customHeight="1" ht="28.5">
      <c r="A70" s="40" t="s">
        <v>158</v>
      </c>
      <c r="B70" s="41" t="s">
        <v>159</v>
      </c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39"/>
      <c r="AJ70" s="39"/>
      <c r="AK70" s="39"/>
    </row>
    <row r="71" spans="1:37">
      <c r="A71" s="40" t="s">
        <v>160</v>
      </c>
      <c r="B71" s="41" t="s">
        <v>161</v>
      </c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39"/>
      <c r="AJ71" s="39"/>
      <c r="AK71" s="39"/>
    </row>
    <row r="72" spans="1:37">
      <c r="A72" s="40" t="s">
        <v>162</v>
      </c>
      <c r="B72" s="41" t="s">
        <v>163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39"/>
      <c r="AJ72" s="39"/>
      <c r="AK72" s="39"/>
    </row>
    <row r="73" spans="1:37">
      <c r="A73" s="40" t="s">
        <v>164</v>
      </c>
      <c r="B73" s="41" t="s">
        <v>165</v>
      </c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39"/>
      <c r="AJ73" s="39"/>
      <c r="AK73" s="39"/>
    </row>
    <row r="74" spans="1:37" customHeight="1" ht="57">
      <c r="A74" s="40" t="s">
        <v>166</v>
      </c>
      <c r="B74" s="41" t="s">
        <v>167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39"/>
      <c r="AJ74" s="39"/>
      <c r="AK74" s="39"/>
    </row>
    <row r="75" spans="1:37" customHeight="1" ht="15.75">
      <c r="A75" s="37" t="s">
        <v>168</v>
      </c>
      <c r="B75" s="43" t="s">
        <v>169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 spans="1:37" customHeight="1" ht="30">
      <c r="A76" s="40" t="s">
        <v>170</v>
      </c>
      <c r="B76" s="41" t="s">
        <v>171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39"/>
      <c r="AJ76" s="39"/>
      <c r="AK76" s="39"/>
    </row>
    <row r="77" spans="1:37">
      <c r="A77" s="40" t="s">
        <v>172</v>
      </c>
      <c r="B77" s="41" t="s">
        <v>173</v>
      </c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39"/>
      <c r="AJ77" s="39"/>
      <c r="AK77" s="39"/>
    </row>
    <row r="78" spans="1:37">
      <c r="A78" s="40" t="s">
        <v>174</v>
      </c>
      <c r="B78" s="41" t="s">
        <v>175</v>
      </c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39"/>
      <c r="AJ78" s="39"/>
      <c r="AK78" s="39"/>
    </row>
    <row r="79" spans="1:37">
      <c r="A79" s="40" t="s">
        <v>176</v>
      </c>
      <c r="B79" s="41" t="s">
        <v>177</v>
      </c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39"/>
      <c r="AJ79" s="39"/>
      <c r="AK79" s="39"/>
    </row>
    <row r="80" spans="1:37" customHeight="1" ht="30">
      <c r="A80" s="40" t="s">
        <v>178</v>
      </c>
      <c r="B80" s="41" t="s">
        <v>179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39"/>
      <c r="AJ80" s="39"/>
      <c r="AK80" s="39"/>
    </row>
    <row r="81" spans="1:37" customHeight="1" ht="30">
      <c r="A81" s="40" t="s">
        <v>180</v>
      </c>
      <c r="B81" s="41" t="s">
        <v>181</v>
      </c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39"/>
      <c r="AJ81" s="39"/>
      <c r="AK81" s="39"/>
    </row>
    <row r="82" spans="1:37">
      <c r="A82" s="40" t="s">
        <v>182</v>
      </c>
      <c r="B82" s="41" t="s">
        <v>183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39"/>
      <c r="AJ82" s="39"/>
      <c r="AK82" s="39"/>
    </row>
    <row r="83" spans="1:37" customHeight="1" ht="30">
      <c r="A83" s="40" t="s">
        <v>184</v>
      </c>
      <c r="B83" s="41" t="s">
        <v>185</v>
      </c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39"/>
      <c r="AJ83" s="39"/>
      <c r="AK83" s="39"/>
    </row>
    <row r="84" spans="1:37">
      <c r="A84" s="40" t="s">
        <v>186</v>
      </c>
      <c r="B84" s="41" t="s">
        <v>187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39"/>
      <c r="AJ84" s="39"/>
      <c r="AK84" s="39"/>
    </row>
    <row r="85" spans="1:37" customHeight="1" ht="30">
      <c r="A85" s="40" t="s">
        <v>188</v>
      </c>
      <c r="B85" s="41" t="s">
        <v>189</v>
      </c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39"/>
      <c r="AJ85" s="39"/>
      <c r="AK85" s="39"/>
    </row>
    <row r="86" spans="1:37" customHeight="1" ht="30">
      <c r="A86" s="40" t="s">
        <v>190</v>
      </c>
      <c r="B86" s="41" t="s">
        <v>191</v>
      </c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39"/>
      <c r="AJ86" s="39"/>
      <c r="AK86" s="39"/>
    </row>
    <row r="87" spans="1:37" customHeight="1" ht="30">
      <c r="A87" s="40" t="s">
        <v>192</v>
      </c>
      <c r="B87" s="41" t="s">
        <v>193</v>
      </c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39"/>
      <c r="AJ87" s="39"/>
      <c r="AK87" s="39"/>
    </row>
    <row r="88" spans="1:37">
      <c r="A88" s="40" t="s">
        <v>194</v>
      </c>
      <c r="B88" s="41" t="s">
        <v>195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39"/>
      <c r="AJ88" s="39"/>
      <c r="AK88" s="39"/>
    </row>
    <row r="89" spans="1:37">
      <c r="A89" s="40" t="s">
        <v>196</v>
      </c>
      <c r="B89" s="41" t="s">
        <v>197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39"/>
      <c r="AJ89" s="39"/>
      <c r="AK89" s="39"/>
    </row>
    <row r="90" spans="1:37" customHeight="1" ht="30">
      <c r="A90" s="40" t="s">
        <v>198</v>
      </c>
      <c r="B90" s="41" t="s">
        <v>199</v>
      </c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39"/>
      <c r="AJ90" s="39"/>
      <c r="AK90" s="39"/>
    </row>
    <row r="91" spans="1:37">
      <c r="A91" s="40" t="s">
        <v>200</v>
      </c>
      <c r="B91" s="41" t="s">
        <v>201</v>
      </c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39"/>
      <c r="AJ91" s="39"/>
      <c r="AK91" s="39"/>
    </row>
    <row r="92" spans="1:37">
      <c r="A92" s="40" t="s">
        <v>202</v>
      </c>
      <c r="B92" s="41" t="s">
        <v>203</v>
      </c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39"/>
      <c r="AJ92" s="39"/>
      <c r="AK92" s="39"/>
    </row>
    <row r="93" spans="1:37" customHeight="1" ht="30">
      <c r="A93" s="40" t="s">
        <v>204</v>
      </c>
      <c r="B93" s="41" t="s">
        <v>205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39"/>
      <c r="AJ93" s="39"/>
      <c r="AK93" s="39"/>
    </row>
    <row r="94" spans="1:37" customHeight="1" ht="30">
      <c r="A94" s="40" t="s">
        <v>206</v>
      </c>
      <c r="B94" s="41" t="s">
        <v>207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39"/>
      <c r="AJ94" s="39"/>
      <c r="AK94" s="39"/>
    </row>
    <row r="95" spans="1:37">
      <c r="A95" s="40" t="s">
        <v>208</v>
      </c>
      <c r="B95" s="41" t="s">
        <v>209</v>
      </c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39"/>
      <c r="AJ95" s="39"/>
      <c r="AK95" s="39"/>
    </row>
    <row r="96" spans="1:37" customHeight="1" ht="30">
      <c r="A96" s="40" t="s">
        <v>210</v>
      </c>
      <c r="B96" s="41" t="s">
        <v>211</v>
      </c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39"/>
      <c r="AJ96" s="39"/>
      <c r="AK96" s="39"/>
    </row>
    <row r="97" spans="1:37">
      <c r="A97" s="40" t="s">
        <v>212</v>
      </c>
      <c r="B97" s="41" t="s">
        <v>213</v>
      </c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39"/>
      <c r="AJ97" s="39"/>
      <c r="AK97" s="39"/>
    </row>
    <row r="98" spans="1:37" customHeight="1" ht="30">
      <c r="A98" s="40" t="s">
        <v>214</v>
      </c>
      <c r="B98" s="41" t="s">
        <v>215</v>
      </c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39"/>
      <c r="AJ98" s="39"/>
      <c r="AK98" s="39"/>
    </row>
    <row r="99" spans="1:37" customHeight="1" ht="30">
      <c r="A99" s="40" t="s">
        <v>216</v>
      </c>
      <c r="B99" s="41" t="s">
        <v>217</v>
      </c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39"/>
      <c r="AJ99" s="39"/>
      <c r="AK99" s="39"/>
    </row>
    <row r="100" spans="1:37">
      <c r="A100" s="40" t="s">
        <v>218</v>
      </c>
      <c r="B100" s="41" t="s">
        <v>219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39"/>
      <c r="AJ100" s="39"/>
      <c r="AK100" s="39"/>
    </row>
    <row r="101" spans="1:37" customHeight="1" ht="30">
      <c r="A101" s="40" t="s">
        <v>220</v>
      </c>
      <c r="B101" s="41" t="s">
        <v>221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39"/>
      <c r="AJ101" s="39"/>
      <c r="AK101" s="39"/>
    </row>
    <row r="102" spans="1:37" customHeight="1" ht="45">
      <c r="A102" s="40" t="s">
        <v>222</v>
      </c>
      <c r="B102" s="41" t="s">
        <v>223</v>
      </c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39"/>
      <c r="AJ102" s="39"/>
      <c r="AK102" s="39"/>
    </row>
    <row r="103" spans="1:37">
      <c r="A103" s="40" t="s">
        <v>224</v>
      </c>
      <c r="B103" s="41" t="s">
        <v>225</v>
      </c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39"/>
      <c r="AJ103" s="39"/>
      <c r="AK103" s="39"/>
    </row>
    <row r="104" spans="1:37">
      <c r="A104" s="40" t="s">
        <v>226</v>
      </c>
      <c r="B104" s="41" t="s">
        <v>227</v>
      </c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39"/>
      <c r="AJ104" s="39"/>
      <c r="AK104" s="39"/>
    </row>
    <row r="105" spans="1:37">
      <c r="A105" s="40" t="s">
        <v>228</v>
      </c>
      <c r="B105" s="41" t="s">
        <v>229</v>
      </c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39"/>
      <c r="AJ105" s="39"/>
      <c r="AK105" s="39"/>
    </row>
    <row r="106" spans="1:37" customHeight="1" ht="45">
      <c r="A106" s="40" t="s">
        <v>230</v>
      </c>
      <c r="B106" s="41" t="s">
        <v>231</v>
      </c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39"/>
      <c r="AJ106" s="39"/>
      <c r="AK106" s="39"/>
    </row>
    <row r="107" spans="1:37">
      <c r="A107" s="40" t="s">
        <v>232</v>
      </c>
      <c r="B107" s="41" t="s">
        <v>233</v>
      </c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39"/>
      <c r="AJ107" s="39"/>
      <c r="AK107" s="39"/>
    </row>
    <row r="108" spans="1:37">
      <c r="A108" s="40" t="s">
        <v>234</v>
      </c>
      <c r="B108" s="41" t="s">
        <v>235</v>
      </c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39"/>
      <c r="AJ108" s="39"/>
      <c r="AK108" s="39"/>
    </row>
    <row r="109" spans="1:37">
      <c r="A109" s="40" t="s">
        <v>236</v>
      </c>
      <c r="B109" s="41" t="s">
        <v>237</v>
      </c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39"/>
      <c r="AJ109" s="39"/>
      <c r="AK109" s="39"/>
    </row>
    <row r="110" spans="1:37">
      <c r="A110" s="40" t="s">
        <v>238</v>
      </c>
      <c r="B110" s="41" t="s">
        <v>239</v>
      </c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39"/>
      <c r="AJ110" s="39"/>
      <c r="AK110" s="39"/>
    </row>
    <row r="111" spans="1:37">
      <c r="A111" s="40" t="s">
        <v>240</v>
      </c>
      <c r="B111" s="41" t="s">
        <v>241</v>
      </c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39"/>
      <c r="AJ111" s="39"/>
      <c r="AK111" s="39"/>
    </row>
    <row r="112" spans="1:37">
      <c r="A112" s="40" t="s">
        <v>242</v>
      </c>
      <c r="B112" s="41" t="s">
        <v>243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39"/>
      <c r="AJ112" s="39"/>
      <c r="AK112" s="39"/>
    </row>
    <row r="113" spans="1:37" customHeight="1" ht="30">
      <c r="A113" s="40" t="s">
        <v>244</v>
      </c>
      <c r="B113" s="41" t="s">
        <v>245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39"/>
      <c r="AJ113" s="39"/>
      <c r="AK113" s="39"/>
    </row>
    <row r="114" spans="1:37" customHeight="1" ht="57">
      <c r="A114" s="40" t="s">
        <v>246</v>
      </c>
      <c r="B114" s="41" t="s">
        <v>247</v>
      </c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39"/>
      <c r="AJ114" s="39"/>
      <c r="AK114" s="39"/>
    </row>
    <row r="115" spans="1:37" customHeight="1" ht="63">
      <c r="A115" s="37" t="s">
        <v>248</v>
      </c>
      <c r="B115" s="43" t="s">
        <v>249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</row>
    <row r="116" spans="1:37">
      <c r="A116" s="40" t="s">
        <v>250</v>
      </c>
      <c r="B116" s="41" t="s">
        <v>251</v>
      </c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39"/>
      <c r="AJ116" s="39"/>
      <c r="AK116" s="39"/>
    </row>
    <row r="117" spans="1:37">
      <c r="A117" s="40" t="s">
        <v>252</v>
      </c>
      <c r="B117" s="41" t="s">
        <v>253</v>
      </c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39"/>
      <c r="AJ117" s="39"/>
      <c r="AK117" s="39"/>
    </row>
    <row r="118" spans="1:37" customHeight="1" ht="45">
      <c r="A118" s="40" t="s">
        <v>254</v>
      </c>
      <c r="B118" s="41" t="s">
        <v>255</v>
      </c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39"/>
      <c r="AJ118" s="39"/>
      <c r="AK118" s="39"/>
    </row>
    <row r="119" spans="1:37" customHeight="1" ht="30">
      <c r="A119" s="40" t="s">
        <v>256</v>
      </c>
      <c r="B119" s="41" t="s">
        <v>257</v>
      </c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39"/>
      <c r="AJ119" s="39"/>
      <c r="AK119" s="39"/>
    </row>
    <row r="120" spans="1:37" customHeight="1" ht="31.5">
      <c r="A120" s="37" t="s">
        <v>258</v>
      </c>
      <c r="B120" s="43" t="s">
        <v>259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</row>
    <row r="121" spans="1:37" customHeight="1" ht="30">
      <c r="A121" s="40" t="s">
        <v>260</v>
      </c>
      <c r="B121" s="41" t="s">
        <v>261</v>
      </c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39"/>
      <c r="AJ121" s="39"/>
      <c r="AK121" s="39"/>
    </row>
    <row r="122" spans="1:37">
      <c r="A122" s="40" t="s">
        <v>262</v>
      </c>
      <c r="B122" s="41" t="s">
        <v>263</v>
      </c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39"/>
      <c r="AJ122" s="39"/>
      <c r="AK122" s="39"/>
    </row>
    <row r="123" spans="1:37">
      <c r="A123" s="40" t="s">
        <v>264</v>
      </c>
      <c r="B123" s="41" t="s">
        <v>265</v>
      </c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39"/>
      <c r="AJ123" s="39"/>
      <c r="AK123" s="39"/>
    </row>
    <row r="124" spans="1:37">
      <c r="A124" s="40" t="s">
        <v>266</v>
      </c>
      <c r="B124" s="41" t="s">
        <v>267</v>
      </c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39"/>
      <c r="AJ124" s="39"/>
      <c r="AK124" s="39"/>
    </row>
    <row r="125" spans="1:37">
      <c r="A125" s="40" t="s">
        <v>268</v>
      </c>
      <c r="B125" s="41" t="s">
        <v>269</v>
      </c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39"/>
      <c r="AJ125" s="39"/>
      <c r="AK125" s="39"/>
    </row>
    <row r="126" spans="1:37">
      <c r="A126" s="40" t="s">
        <v>270</v>
      </c>
      <c r="B126" s="41" t="s">
        <v>271</v>
      </c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39"/>
      <c r="AJ126" s="39"/>
      <c r="AK126" s="39"/>
    </row>
    <row r="127" spans="1:37">
      <c r="A127" s="40" t="s">
        <v>272</v>
      </c>
      <c r="B127" s="41" t="s">
        <v>273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39"/>
      <c r="AJ127" s="39"/>
      <c r="AK127" s="39"/>
    </row>
    <row r="128" spans="1:37" customHeight="1" ht="30">
      <c r="A128" s="40" t="s">
        <v>274</v>
      </c>
      <c r="B128" s="41" t="s">
        <v>275</v>
      </c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39"/>
      <c r="AJ128" s="39"/>
      <c r="AK128" s="39"/>
    </row>
    <row r="129" spans="1:37">
      <c r="A129" s="40" t="s">
        <v>276</v>
      </c>
      <c r="B129" s="41" t="s">
        <v>277</v>
      </c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39"/>
      <c r="AJ129" s="39"/>
      <c r="AK129" s="39"/>
    </row>
    <row r="130" spans="1:37">
      <c r="A130" s="40" t="s">
        <v>278</v>
      </c>
      <c r="B130" s="41" t="s">
        <v>279</v>
      </c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39"/>
      <c r="AJ130" s="39"/>
      <c r="AK130" s="39"/>
    </row>
    <row r="131" spans="1:37" customHeight="1" ht="42.75">
      <c r="A131" s="40" t="s">
        <v>280</v>
      </c>
      <c r="B131" s="41" t="s">
        <v>281</v>
      </c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39"/>
      <c r="AJ131" s="39"/>
      <c r="AK131" s="39"/>
    </row>
    <row r="132" spans="1:37" customHeight="1" ht="15.75">
      <c r="A132" s="37" t="s">
        <v>282</v>
      </c>
      <c r="B132" s="43" t="s">
        <v>283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</row>
    <row r="133" spans="1:37">
      <c r="A133" s="40" t="s">
        <v>284</v>
      </c>
      <c r="B133" s="41" t="s">
        <v>285</v>
      </c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39"/>
      <c r="AJ133" s="39"/>
      <c r="AK133" s="39"/>
    </row>
    <row r="134" spans="1:37" customHeight="1" ht="30">
      <c r="A134" s="40" t="s">
        <v>286</v>
      </c>
      <c r="B134" s="41" t="s">
        <v>287</v>
      </c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39"/>
      <c r="AJ134" s="39"/>
      <c r="AK134" s="39"/>
    </row>
    <row r="135" spans="1:37" customHeight="1" ht="30">
      <c r="A135" s="40" t="s">
        <v>288</v>
      </c>
      <c r="B135" s="41" t="s">
        <v>289</v>
      </c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39"/>
      <c r="AJ135" s="39"/>
      <c r="AK135" s="39"/>
    </row>
    <row r="136" spans="1:37" customHeight="1" ht="30">
      <c r="A136" s="40" t="s">
        <v>290</v>
      </c>
      <c r="B136" s="41" t="s">
        <v>291</v>
      </c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39"/>
      <c r="AJ136" s="39"/>
      <c r="AK136" s="39"/>
    </row>
    <row r="137" spans="1:37">
      <c r="A137" s="40" t="s">
        <v>292</v>
      </c>
      <c r="B137" s="41" t="s">
        <v>293</v>
      </c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39"/>
      <c r="AJ137" s="39"/>
      <c r="AK137" s="39"/>
    </row>
    <row r="138" spans="1:37" customHeight="1" ht="30">
      <c r="A138" s="40" t="s">
        <v>294</v>
      </c>
      <c r="B138" s="41" t="s">
        <v>295</v>
      </c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39"/>
      <c r="AJ138" s="39"/>
      <c r="AK138" s="39"/>
    </row>
    <row r="139" spans="1:37">
      <c r="A139" s="40" t="s">
        <v>296</v>
      </c>
      <c r="B139" s="41" t="s">
        <v>297</v>
      </c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39"/>
      <c r="AJ139" s="39"/>
      <c r="AK139" s="39"/>
    </row>
    <row r="140" spans="1:37" customHeight="1" ht="30">
      <c r="A140" s="40" t="s">
        <v>298</v>
      </c>
      <c r="B140" s="41" t="s">
        <v>299</v>
      </c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39"/>
      <c r="AJ140" s="39"/>
      <c r="AK140" s="39"/>
    </row>
    <row r="141" spans="1:37" customHeight="1" ht="15.75">
      <c r="A141" s="37" t="s">
        <v>300</v>
      </c>
      <c r="B141" s="43" t="s">
        <v>301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</row>
    <row r="142" spans="1:37" customHeight="1" ht="30">
      <c r="A142" s="40" t="s">
        <v>302</v>
      </c>
      <c r="B142" s="41" t="s">
        <v>303</v>
      </c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39"/>
      <c r="AJ142" s="39"/>
      <c r="AK142" s="39"/>
    </row>
    <row r="143" spans="1:37">
      <c r="A143" s="40" t="s">
        <v>304</v>
      </c>
      <c r="B143" s="41" t="s">
        <v>305</v>
      </c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39"/>
      <c r="AJ143" s="39"/>
      <c r="AK143" s="39"/>
    </row>
    <row r="144" spans="1:37">
      <c r="A144" s="40" t="s">
        <v>306</v>
      </c>
      <c r="B144" s="41" t="s">
        <v>307</v>
      </c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39"/>
      <c r="AJ144" s="39"/>
      <c r="AK144" s="39"/>
    </row>
    <row r="145" spans="1:37">
      <c r="A145" s="40" t="s">
        <v>308</v>
      </c>
      <c r="B145" s="41" t="s">
        <v>309</v>
      </c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39"/>
      <c r="AJ145" s="39"/>
      <c r="AK145" s="39"/>
    </row>
    <row r="146" spans="1:37">
      <c r="A146" s="40" t="s">
        <v>310</v>
      </c>
      <c r="B146" s="41" t="s">
        <v>311</v>
      </c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39"/>
      <c r="AJ146" s="39"/>
      <c r="AK146" s="39"/>
    </row>
    <row r="147" spans="1:37" customHeight="1" ht="30">
      <c r="A147" s="40" t="s">
        <v>312</v>
      </c>
      <c r="B147" s="41" t="s">
        <v>313</v>
      </c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39"/>
      <c r="AJ147" s="39"/>
      <c r="AK147" s="39"/>
    </row>
    <row r="148" spans="1:37" customHeight="1" ht="30">
      <c r="A148" s="40" t="s">
        <v>314</v>
      </c>
      <c r="B148" s="41" t="s">
        <v>315</v>
      </c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39"/>
      <c r="AJ148" s="39"/>
      <c r="AK148" s="39"/>
    </row>
    <row r="149" spans="1:37" customHeight="1" ht="30">
      <c r="A149" s="40" t="s">
        <v>316</v>
      </c>
      <c r="B149" s="41" t="s">
        <v>317</v>
      </c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39"/>
      <c r="AJ149" s="39"/>
      <c r="AK149" s="39"/>
    </row>
    <row r="150" spans="1:37" customHeight="1" ht="30">
      <c r="A150" s="40" t="s">
        <v>318</v>
      </c>
      <c r="B150" s="41" t="s">
        <v>319</v>
      </c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39"/>
      <c r="AJ150" s="39"/>
      <c r="AK150" s="39"/>
    </row>
    <row r="151" spans="1:37" customHeight="1" ht="57">
      <c r="A151" s="40" t="s">
        <v>320</v>
      </c>
      <c r="B151" s="41" t="s">
        <v>321</v>
      </c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39"/>
      <c r="AJ151" s="39"/>
      <c r="AK151" s="39"/>
    </row>
    <row r="152" spans="1:37" customHeight="1" ht="15.75">
      <c r="A152" s="37" t="s">
        <v>322</v>
      </c>
      <c r="B152" s="43" t="s">
        <v>323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</row>
    <row r="153" spans="1:37">
      <c r="A153" s="40" t="s">
        <v>324</v>
      </c>
      <c r="B153" s="41" t="s">
        <v>325</v>
      </c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39"/>
      <c r="AJ153" s="39"/>
      <c r="AK153" s="39"/>
    </row>
    <row r="154" spans="1:37" customHeight="1" ht="30">
      <c r="A154" s="40" t="s">
        <v>326</v>
      </c>
      <c r="B154" s="41" t="s">
        <v>327</v>
      </c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39"/>
      <c r="AJ154" s="39"/>
      <c r="AK154" s="39"/>
    </row>
    <row r="155" spans="1:37" customHeight="1" ht="30">
      <c r="A155" s="40" t="s">
        <v>328</v>
      </c>
      <c r="B155" s="41" t="s">
        <v>329</v>
      </c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39"/>
      <c r="AJ155" s="39"/>
      <c r="AK155" s="39"/>
    </row>
    <row r="156" spans="1:37">
      <c r="A156" s="40" t="s">
        <v>330</v>
      </c>
      <c r="B156" s="41" t="s">
        <v>331</v>
      </c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39"/>
      <c r="AJ156" s="39"/>
      <c r="AK156" s="39"/>
    </row>
    <row r="157" spans="1:37">
      <c r="A157" s="40" t="s">
        <v>332</v>
      </c>
      <c r="B157" s="41" t="s">
        <v>333</v>
      </c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39"/>
      <c r="AJ157" s="39"/>
      <c r="AK157" s="39"/>
    </row>
    <row r="158" spans="1:37">
      <c r="A158" s="40" t="s">
        <v>334</v>
      </c>
      <c r="B158" s="41" t="s">
        <v>335</v>
      </c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39"/>
      <c r="AJ158" s="39"/>
      <c r="AK158" s="39"/>
    </row>
    <row r="159" spans="1:37">
      <c r="A159" s="40" t="s">
        <v>336</v>
      </c>
      <c r="B159" s="41" t="s">
        <v>337</v>
      </c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39"/>
      <c r="AJ159" s="39"/>
      <c r="AK159" s="39"/>
    </row>
    <row r="160" spans="1:37" customHeight="1" ht="30">
      <c r="A160" s="40" t="s">
        <v>338</v>
      </c>
      <c r="B160" s="41" t="s">
        <v>339</v>
      </c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39"/>
      <c r="AJ160" s="39"/>
      <c r="AK160" s="39"/>
    </row>
    <row r="161" spans="1:37">
      <c r="A161" s="40" t="s">
        <v>340</v>
      </c>
      <c r="B161" s="41" t="s">
        <v>341</v>
      </c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39"/>
      <c r="AJ161" s="39"/>
      <c r="AK161" s="39"/>
    </row>
    <row r="162" spans="1:37" customHeight="1" ht="57">
      <c r="A162" s="40" t="s">
        <v>342</v>
      </c>
      <c r="B162" s="41" t="s">
        <v>343</v>
      </c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39"/>
      <c r="AJ162" s="39"/>
      <c r="AK162" s="39"/>
    </row>
    <row r="163" spans="1:37" customHeight="1" ht="31.5">
      <c r="A163" s="37" t="s">
        <v>344</v>
      </c>
      <c r="B163" s="43" t="s">
        <v>345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</row>
    <row r="164" spans="1:37" customHeight="1" ht="30">
      <c r="A164" s="40" t="s">
        <v>346</v>
      </c>
      <c r="B164" s="41" t="s">
        <v>347</v>
      </c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39"/>
      <c r="AJ164" s="39"/>
      <c r="AK164" s="39"/>
    </row>
    <row r="165" spans="1:37">
      <c r="A165" s="40" t="s">
        <v>348</v>
      </c>
      <c r="B165" s="41" t="s">
        <v>349</v>
      </c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39"/>
      <c r="AJ165" s="39"/>
      <c r="AK165" s="39"/>
    </row>
    <row r="166" spans="1:37" customHeight="1" ht="30">
      <c r="A166" s="40" t="s">
        <v>350</v>
      </c>
      <c r="B166" s="41" t="s">
        <v>351</v>
      </c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39"/>
      <c r="AJ166" s="39"/>
      <c r="AK166" s="39"/>
    </row>
    <row r="167" spans="1:37" customHeight="1" ht="31.5">
      <c r="A167" s="37" t="s">
        <v>352</v>
      </c>
      <c r="B167" s="43" t="s">
        <v>353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</row>
    <row r="168" spans="1:37">
      <c r="A168" s="40" t="s">
        <v>354</v>
      </c>
      <c r="B168" s="41" t="s">
        <v>355</v>
      </c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39"/>
      <c r="AJ168" s="39"/>
      <c r="AK168" s="39"/>
    </row>
    <row r="169" spans="1:37">
      <c r="A169" s="40" t="s">
        <v>356</v>
      </c>
      <c r="B169" s="41" t="s">
        <v>357</v>
      </c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39"/>
      <c r="AJ169" s="39"/>
      <c r="AK169" s="39"/>
    </row>
    <row r="170" spans="1:37">
      <c r="A170" s="40" t="s">
        <v>358</v>
      </c>
      <c r="B170" s="41" t="s">
        <v>359</v>
      </c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39"/>
      <c r="AJ170" s="39"/>
      <c r="AK170" s="39"/>
    </row>
    <row r="171" spans="1:37">
      <c r="A171" s="40" t="s">
        <v>360</v>
      </c>
      <c r="B171" s="41" t="s">
        <v>361</v>
      </c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39"/>
      <c r="AJ171" s="39"/>
      <c r="AK171" s="39"/>
    </row>
    <row r="172" spans="1:37">
      <c r="A172" s="40" t="s">
        <v>362</v>
      </c>
      <c r="B172" s="41" t="s">
        <v>363</v>
      </c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39"/>
      <c r="AJ172" s="39"/>
      <c r="AK172" s="39"/>
    </row>
    <row r="173" spans="1:37">
      <c r="A173" s="40" t="s">
        <v>364</v>
      </c>
      <c r="B173" s="41" t="s">
        <v>365</v>
      </c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39"/>
      <c r="AJ173" s="39"/>
      <c r="AK173" s="39"/>
    </row>
    <row r="174" spans="1:37">
      <c r="A174" s="40" t="s">
        <v>366</v>
      </c>
      <c r="B174" s="41" t="s">
        <v>367</v>
      </c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39"/>
      <c r="AJ174" s="39"/>
      <c r="AK174" s="39"/>
    </row>
    <row r="175" spans="1:37" customHeight="1" ht="30">
      <c r="A175" s="40" t="s">
        <v>368</v>
      </c>
      <c r="B175" s="41" t="s">
        <v>369</v>
      </c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39"/>
      <c r="AJ175" s="39"/>
      <c r="AK175" s="39"/>
    </row>
    <row r="176" spans="1:37">
      <c r="A176" s="40" t="s">
        <v>370</v>
      </c>
      <c r="B176" s="41" t="s">
        <v>371</v>
      </c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39"/>
      <c r="AJ176" s="39"/>
      <c r="AK176" s="39"/>
    </row>
    <row r="177" spans="1:37">
      <c r="A177" s="40" t="s">
        <v>372</v>
      </c>
      <c r="B177" s="41" t="s">
        <v>373</v>
      </c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39"/>
      <c r="AJ177" s="39"/>
      <c r="AK177" s="39"/>
    </row>
    <row r="178" spans="1:37">
      <c r="A178" s="40" t="s">
        <v>374</v>
      </c>
      <c r="B178" s="41" t="s">
        <v>375</v>
      </c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39"/>
      <c r="AJ178" s="39"/>
      <c r="AK178" s="39"/>
    </row>
    <row r="179" spans="1:37">
      <c r="A179" s="40" t="s">
        <v>376</v>
      </c>
      <c r="B179" s="41" t="s">
        <v>377</v>
      </c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39"/>
      <c r="AJ179" s="39"/>
      <c r="AK179" s="39"/>
    </row>
    <row r="180" spans="1:37" customHeight="1" ht="30">
      <c r="A180" s="40" t="s">
        <v>378</v>
      </c>
      <c r="B180" s="41" t="s">
        <v>379</v>
      </c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39"/>
      <c r="AJ180" s="39"/>
      <c r="AK180" s="39"/>
    </row>
    <row r="181" spans="1:37">
      <c r="A181" s="40" t="s">
        <v>380</v>
      </c>
      <c r="B181" s="41" t="s">
        <v>381</v>
      </c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39"/>
      <c r="AJ181" s="39"/>
      <c r="AK181" s="39"/>
    </row>
    <row r="182" spans="1:37">
      <c r="A182" s="40" t="s">
        <v>382</v>
      </c>
      <c r="B182" s="41" t="s">
        <v>383</v>
      </c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39"/>
      <c r="AJ182" s="39"/>
      <c r="AK182" s="39"/>
    </row>
    <row r="183" spans="1:37">
      <c r="A183" s="40" t="s">
        <v>384</v>
      </c>
      <c r="B183" s="41" t="s">
        <v>385</v>
      </c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39"/>
      <c r="AJ183" s="39"/>
      <c r="AK183" s="39"/>
    </row>
    <row r="184" spans="1:37">
      <c r="A184" s="40" t="s">
        <v>386</v>
      </c>
      <c r="B184" s="41" t="s">
        <v>387</v>
      </c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39"/>
      <c r="AJ184" s="39"/>
      <c r="AK184" s="39"/>
    </row>
    <row r="185" spans="1:37" customHeight="1" ht="30">
      <c r="A185" s="40" t="s">
        <v>388</v>
      </c>
      <c r="B185" s="41" t="s">
        <v>389</v>
      </c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39"/>
      <c r="AJ185" s="39"/>
      <c r="AK185" s="39"/>
    </row>
    <row r="186" spans="1:37" customHeight="1" ht="30">
      <c r="A186" s="40" t="s">
        <v>390</v>
      </c>
      <c r="B186" s="41" t="s">
        <v>391</v>
      </c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39"/>
      <c r="AJ186" s="39"/>
      <c r="AK186" s="39"/>
    </row>
    <row r="187" spans="1:37">
      <c r="A187" s="40" t="s">
        <v>392</v>
      </c>
      <c r="B187" s="41" t="s">
        <v>393</v>
      </c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39"/>
      <c r="AJ187" s="39"/>
      <c r="AK187" s="39"/>
    </row>
    <row r="188" spans="1:37" customHeight="1" ht="30">
      <c r="A188" s="40" t="s">
        <v>394</v>
      </c>
      <c r="B188" s="41" t="s">
        <v>395</v>
      </c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39"/>
      <c r="AJ188" s="39"/>
      <c r="AK188" s="39"/>
    </row>
    <row r="189" spans="1:37" customHeight="1" ht="31.5">
      <c r="A189" s="37" t="s">
        <v>396</v>
      </c>
      <c r="B189" s="43" t="s">
        <v>397</v>
      </c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</row>
    <row r="190" spans="1:37">
      <c r="A190" s="40" t="s">
        <v>398</v>
      </c>
      <c r="B190" s="41" t="s">
        <v>399</v>
      </c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39"/>
      <c r="AJ190" s="39"/>
      <c r="AK190" s="39"/>
    </row>
    <row r="191" spans="1:37">
      <c r="A191" s="40" t="s">
        <v>400</v>
      </c>
      <c r="B191" s="41" t="s">
        <v>401</v>
      </c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39"/>
      <c r="AJ191" s="39"/>
      <c r="AK191" s="39"/>
    </row>
    <row r="192" spans="1:37" customHeight="1" ht="30">
      <c r="A192" s="40" t="s">
        <v>402</v>
      </c>
      <c r="B192" s="41" t="s">
        <v>403</v>
      </c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39"/>
      <c r="AJ192" s="39"/>
      <c r="AK192" s="39"/>
    </row>
    <row r="193" spans="1:37">
      <c r="A193" s="40" t="s">
        <v>404</v>
      </c>
      <c r="B193" s="41" t="s">
        <v>405</v>
      </c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39"/>
      <c r="AJ193" s="39"/>
      <c r="AK193" s="39"/>
    </row>
    <row r="194" spans="1:37">
      <c r="A194" s="40" t="s">
        <v>406</v>
      </c>
      <c r="B194" s="41" t="s">
        <v>407</v>
      </c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39"/>
      <c r="AJ194" s="39"/>
      <c r="AK194" s="39"/>
    </row>
    <row r="195" spans="1:37" customHeight="1" ht="30">
      <c r="A195" s="40" t="s">
        <v>408</v>
      </c>
      <c r="B195" s="41" t="s">
        <v>409</v>
      </c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39"/>
      <c r="AJ195" s="39"/>
      <c r="AK195" s="39"/>
    </row>
    <row r="196" spans="1:37">
      <c r="A196" s="40" t="s">
        <v>410</v>
      </c>
      <c r="B196" s="41" t="s">
        <v>411</v>
      </c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39"/>
      <c r="AJ196" s="39"/>
      <c r="AK196" s="39"/>
    </row>
    <row r="197" spans="1:37" customHeight="1" ht="30">
      <c r="A197" s="40" t="s">
        <v>412</v>
      </c>
      <c r="B197" s="41" t="s">
        <v>413</v>
      </c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39"/>
      <c r="AJ197" s="39"/>
      <c r="AK197" s="39"/>
    </row>
    <row r="198" spans="1:37" customHeight="1" ht="30">
      <c r="A198" s="40" t="s">
        <v>414</v>
      </c>
      <c r="B198" s="41" t="s">
        <v>415</v>
      </c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39"/>
      <c r="AJ198" s="39"/>
      <c r="AK198" s="39"/>
    </row>
    <row r="199" spans="1:37" customHeight="1" ht="30">
      <c r="A199" s="40" t="s">
        <v>416</v>
      </c>
      <c r="B199" s="41" t="s">
        <v>417</v>
      </c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39"/>
      <c r="AJ199" s="39"/>
      <c r="AK199" s="39"/>
    </row>
    <row r="200" spans="1:37">
      <c r="A200" s="40" t="s">
        <v>712</v>
      </c>
      <c r="B200" s="41" t="s">
        <v>713</v>
      </c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39"/>
      <c r="AJ200" s="39"/>
      <c r="AK200" s="39"/>
    </row>
    <row r="201" spans="1:37">
      <c r="A201" s="40" t="s">
        <v>714</v>
      </c>
      <c r="B201" s="41" t="s">
        <v>715</v>
      </c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39"/>
      <c r="AJ201" s="39"/>
      <c r="AK201" s="39"/>
    </row>
    <row r="202" spans="1:37" customHeight="1" ht="30">
      <c r="A202" s="40" t="s">
        <v>716</v>
      </c>
      <c r="B202" s="41" t="s">
        <v>717</v>
      </c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39"/>
      <c r="AJ202" s="39"/>
      <c r="AK202" s="39"/>
    </row>
    <row r="203" spans="1:37">
      <c r="A203" s="40" t="s">
        <v>420</v>
      </c>
      <c r="B203" s="41" t="s">
        <v>421</v>
      </c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39"/>
      <c r="AJ203" s="39"/>
      <c r="AK203" s="39"/>
    </row>
    <row r="204" spans="1:37">
      <c r="A204" s="40" t="s">
        <v>422</v>
      </c>
      <c r="B204" s="41" t="s">
        <v>423</v>
      </c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39"/>
      <c r="AJ204" s="39"/>
      <c r="AK204" s="39"/>
    </row>
    <row r="205" spans="1:37">
      <c r="A205" s="40" t="s">
        <v>424</v>
      </c>
      <c r="B205" s="41" t="s">
        <v>425</v>
      </c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39"/>
      <c r="AJ205" s="39"/>
      <c r="AK205" s="39"/>
    </row>
    <row r="206" spans="1:37" customHeight="1" ht="30">
      <c r="A206" s="40" t="s">
        <v>718</v>
      </c>
      <c r="B206" s="41" t="s">
        <v>719</v>
      </c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39"/>
      <c r="AJ206" s="39"/>
      <c r="AK206" s="39"/>
    </row>
    <row r="207" spans="1:37" customHeight="1" ht="30">
      <c r="A207" s="40" t="s">
        <v>426</v>
      </c>
      <c r="B207" s="41" t="s">
        <v>427</v>
      </c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39"/>
      <c r="AJ207" s="39"/>
      <c r="AK207" s="39"/>
    </row>
    <row r="208" spans="1:37" customHeight="1" ht="15.75">
      <c r="A208" s="37" t="s">
        <v>428</v>
      </c>
      <c r="B208" s="43" t="s">
        <v>429</v>
      </c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</row>
    <row r="209" spans="1:37">
      <c r="A209" s="40" t="s">
        <v>430</v>
      </c>
      <c r="B209" s="41" t="s">
        <v>431</v>
      </c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39"/>
      <c r="AJ209" s="39"/>
      <c r="AK209" s="39"/>
    </row>
    <row r="210" spans="1:37" customHeight="1" ht="30">
      <c r="A210" s="40" t="s">
        <v>432</v>
      </c>
      <c r="B210" s="41" t="s">
        <v>433</v>
      </c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39"/>
      <c r="AJ210" s="39"/>
      <c r="AK210" s="39"/>
    </row>
    <row r="211" spans="1:37" customHeight="1" ht="30">
      <c r="A211" s="40" t="s">
        <v>434</v>
      </c>
      <c r="B211" s="41" t="s">
        <v>435</v>
      </c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39"/>
      <c r="AJ211" s="39"/>
      <c r="AK211" s="39"/>
    </row>
    <row r="212" spans="1:37">
      <c r="A212" s="40" t="s">
        <v>436</v>
      </c>
      <c r="B212" s="41" t="s">
        <v>437</v>
      </c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39"/>
      <c r="AJ212" s="39"/>
      <c r="AK212" s="39"/>
    </row>
    <row r="213" spans="1:37">
      <c r="A213" s="40" t="s">
        <v>438</v>
      </c>
      <c r="B213" s="41" t="s">
        <v>439</v>
      </c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39"/>
      <c r="AJ213" s="39"/>
      <c r="AK213" s="39"/>
    </row>
    <row r="214" spans="1:37" customHeight="1" ht="30">
      <c r="A214" s="40" t="s">
        <v>440</v>
      </c>
      <c r="B214" s="41" t="s">
        <v>441</v>
      </c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39"/>
      <c r="AJ214" s="39"/>
      <c r="AK214" s="39"/>
    </row>
    <row r="215" spans="1:37">
      <c r="A215" s="40" t="s">
        <v>442</v>
      </c>
      <c r="B215" s="41" t="s">
        <v>443</v>
      </c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39"/>
      <c r="AJ215" s="39"/>
      <c r="AK215" s="39"/>
    </row>
    <row r="216" spans="1:37">
      <c r="A216" s="40" t="s">
        <v>444</v>
      </c>
      <c r="B216" s="41" t="s">
        <v>445</v>
      </c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39"/>
      <c r="AJ216" s="39"/>
      <c r="AK216" s="39"/>
    </row>
    <row r="217" spans="1:37">
      <c r="A217" s="40" t="s">
        <v>446</v>
      </c>
      <c r="B217" s="41" t="s">
        <v>447</v>
      </c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39"/>
      <c r="AJ217" s="39"/>
      <c r="AK217" s="39"/>
    </row>
    <row r="218" spans="1:37">
      <c r="A218" s="40" t="s">
        <v>448</v>
      </c>
      <c r="B218" s="41" t="s">
        <v>449</v>
      </c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39"/>
      <c r="AJ218" s="39"/>
      <c r="AK218" s="39"/>
    </row>
    <row r="219" spans="1:37" customHeight="1" ht="30">
      <c r="A219" s="40" t="s">
        <v>450</v>
      </c>
      <c r="B219" s="41" t="s">
        <v>451</v>
      </c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39"/>
      <c r="AJ219" s="39"/>
      <c r="AK219" s="39"/>
    </row>
    <row r="220" spans="1:37">
      <c r="A220" s="40" t="s">
        <v>452</v>
      </c>
      <c r="B220" s="41" t="s">
        <v>453</v>
      </c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39"/>
      <c r="AJ220" s="39"/>
      <c r="AK220" s="39"/>
    </row>
    <row r="221" spans="1:37" customHeight="1" ht="30">
      <c r="A221" s="40" t="s">
        <v>454</v>
      </c>
      <c r="B221" s="41" t="s">
        <v>455</v>
      </c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39"/>
      <c r="AJ221" s="39"/>
      <c r="AK221" s="39"/>
    </row>
    <row r="222" spans="1:37">
      <c r="A222" s="40" t="s">
        <v>456</v>
      </c>
      <c r="B222" s="41" t="s">
        <v>457</v>
      </c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39"/>
      <c r="AJ222" s="39"/>
      <c r="AK222" s="39"/>
    </row>
    <row r="223" spans="1:37">
      <c r="A223" s="40" t="s">
        <v>458</v>
      </c>
      <c r="B223" s="41" t="s">
        <v>459</v>
      </c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39"/>
      <c r="AJ223" s="39"/>
      <c r="AK223" s="39"/>
    </row>
    <row r="224" spans="1:37">
      <c r="A224" s="40" t="s">
        <v>460</v>
      </c>
      <c r="B224" s="41" t="s">
        <v>461</v>
      </c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39"/>
      <c r="AJ224" s="39"/>
      <c r="AK224" s="39"/>
    </row>
    <row r="225" spans="1:37" customHeight="1" ht="30">
      <c r="A225" s="40" t="s">
        <v>462</v>
      </c>
      <c r="B225" s="41" t="s">
        <v>463</v>
      </c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39"/>
      <c r="AJ225" s="39"/>
      <c r="AK225" s="39"/>
    </row>
    <row r="226" spans="1:37">
      <c r="A226" s="40" t="s">
        <v>464</v>
      </c>
      <c r="B226" s="41" t="s">
        <v>465</v>
      </c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39"/>
      <c r="AJ226" s="39"/>
      <c r="AK226" s="39"/>
    </row>
    <row r="227" spans="1:37" customHeight="1" ht="30">
      <c r="A227" s="40" t="s">
        <v>466</v>
      </c>
      <c r="B227" s="41" t="s">
        <v>467</v>
      </c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39"/>
      <c r="AJ227" s="39"/>
      <c r="AK227" s="39"/>
    </row>
    <row r="228" spans="1:37" customHeight="1" ht="31.5">
      <c r="A228" s="37" t="s">
        <v>468</v>
      </c>
      <c r="B228" s="43" t="s">
        <v>469</v>
      </c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</row>
    <row r="229" spans="1:37" customHeight="1" ht="30">
      <c r="A229" s="40" t="s">
        <v>470</v>
      </c>
      <c r="B229" s="41" t="s">
        <v>471</v>
      </c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39"/>
      <c r="AJ229" s="39"/>
      <c r="AK229" s="39"/>
    </row>
    <row r="230" spans="1:37" customHeight="1" ht="30">
      <c r="A230" s="40" t="s">
        <v>472</v>
      </c>
      <c r="B230" s="41" t="s">
        <v>473</v>
      </c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39"/>
      <c r="AJ230" s="39"/>
      <c r="AK230" s="39"/>
    </row>
    <row r="231" spans="1:37" customHeight="1" ht="31.5">
      <c r="A231" s="37" t="s">
        <v>474</v>
      </c>
      <c r="B231" s="43" t="s">
        <v>475</v>
      </c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</row>
    <row r="232" spans="1:37" customHeight="1" ht="30">
      <c r="A232" s="40" t="s">
        <v>476</v>
      </c>
      <c r="B232" s="41" t="s">
        <v>477</v>
      </c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39"/>
      <c r="AJ232" s="39"/>
      <c r="AK232" s="39"/>
    </row>
    <row r="233" spans="1:37">
      <c r="A233" s="40" t="s">
        <v>478</v>
      </c>
      <c r="B233" s="41" t="s">
        <v>479</v>
      </c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39"/>
      <c r="AJ233" s="39"/>
      <c r="AK233" s="39"/>
    </row>
    <row r="234" spans="1:37">
      <c r="A234" s="40" t="s">
        <v>480</v>
      </c>
      <c r="B234" s="41" t="s">
        <v>481</v>
      </c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39"/>
      <c r="AJ234" s="39"/>
      <c r="AK234" s="39"/>
    </row>
    <row r="235" spans="1:37">
      <c r="A235" s="40" t="s">
        <v>482</v>
      </c>
      <c r="B235" s="41" t="s">
        <v>483</v>
      </c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39"/>
      <c r="AJ235" s="39"/>
      <c r="AK235" s="39"/>
    </row>
    <row r="236" spans="1:37" customHeight="1" ht="30">
      <c r="A236" s="40" t="s">
        <v>484</v>
      </c>
      <c r="B236" s="41" t="s">
        <v>485</v>
      </c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39"/>
      <c r="AJ236" s="39"/>
      <c r="AK236" s="39"/>
    </row>
    <row r="237" spans="1:37" customHeight="1" ht="30">
      <c r="A237" s="40" t="s">
        <v>486</v>
      </c>
      <c r="B237" s="41" t="s">
        <v>487</v>
      </c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39"/>
      <c r="AJ237" s="39"/>
      <c r="AK237" s="39"/>
    </row>
    <row r="238" spans="1:37">
      <c r="A238" s="40" t="s">
        <v>488</v>
      </c>
      <c r="B238" s="41" t="s">
        <v>489</v>
      </c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39"/>
      <c r="AJ238" s="39"/>
      <c r="AK238" s="39"/>
    </row>
    <row r="239" spans="1:37">
      <c r="A239" s="40" t="s">
        <v>490</v>
      </c>
      <c r="B239" s="41" t="s">
        <v>491</v>
      </c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39"/>
      <c r="AJ239" s="39"/>
      <c r="AK239" s="39"/>
    </row>
    <row r="240" spans="1:37" customHeight="1" ht="30">
      <c r="A240" s="40" t="s">
        <v>492</v>
      </c>
      <c r="B240" s="41" t="s">
        <v>493</v>
      </c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39"/>
      <c r="AJ240" s="39"/>
      <c r="AK240" s="39"/>
    </row>
    <row r="241" spans="1:37">
      <c r="A241" s="40" t="s">
        <v>494</v>
      </c>
      <c r="B241" s="41" t="s">
        <v>495</v>
      </c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39"/>
      <c r="AJ241" s="39"/>
      <c r="AK241" s="39"/>
    </row>
    <row r="242" spans="1:37" customHeight="1" ht="45">
      <c r="A242" s="40" t="s">
        <v>496</v>
      </c>
      <c r="B242" s="41" t="s">
        <v>497</v>
      </c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39"/>
      <c r="AJ242" s="39"/>
      <c r="AK242" s="39"/>
    </row>
    <row r="243" spans="1:37" customHeight="1" ht="31.5">
      <c r="A243" s="37" t="s">
        <v>498</v>
      </c>
      <c r="B243" s="43" t="s">
        <v>499</v>
      </c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</row>
    <row r="244" spans="1:37" customHeight="1" ht="30">
      <c r="A244" s="40" t="s">
        <v>500</v>
      </c>
      <c r="B244" s="41" t="s">
        <v>501</v>
      </c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39"/>
      <c r="AJ244" s="39"/>
      <c r="AK244" s="39"/>
    </row>
    <row r="245" spans="1:37">
      <c r="A245" s="40" t="s">
        <v>502</v>
      </c>
      <c r="B245" s="41" t="s">
        <v>503</v>
      </c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39"/>
      <c r="AJ245" s="39"/>
      <c r="AK245" s="39"/>
    </row>
    <row r="246" spans="1:37">
      <c r="A246" s="40" t="s">
        <v>504</v>
      </c>
      <c r="B246" s="41" t="s">
        <v>505</v>
      </c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39"/>
      <c r="AJ246" s="39"/>
      <c r="AK246" s="39"/>
    </row>
    <row r="247" spans="1:37">
      <c r="A247" s="40" t="s">
        <v>506</v>
      </c>
      <c r="B247" s="41" t="s">
        <v>507</v>
      </c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39"/>
      <c r="AJ247" s="39"/>
      <c r="AK247" s="39"/>
    </row>
    <row r="248" spans="1:37">
      <c r="A248" s="40" t="s">
        <v>508</v>
      </c>
      <c r="B248" s="41" t="s">
        <v>509</v>
      </c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39"/>
      <c r="AJ248" s="39"/>
      <c r="AK248" s="39"/>
    </row>
    <row r="249" spans="1:37">
      <c r="A249" s="40" t="s">
        <v>510</v>
      </c>
      <c r="B249" s="41" t="s">
        <v>511</v>
      </c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39"/>
      <c r="AJ249" s="39"/>
      <c r="AK249" s="39"/>
    </row>
    <row r="250" spans="1:37">
      <c r="A250" s="40" t="s">
        <v>512</v>
      </c>
      <c r="B250" s="41" t="s">
        <v>513</v>
      </c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39"/>
      <c r="AJ250" s="39"/>
      <c r="AK250" s="39"/>
    </row>
    <row r="251" spans="1:37" customHeight="1" ht="30">
      <c r="A251" s="40" t="s">
        <v>720</v>
      </c>
      <c r="B251" s="41" t="s">
        <v>721</v>
      </c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39"/>
      <c r="AJ251" s="39"/>
      <c r="AK251" s="39"/>
    </row>
    <row r="252" spans="1:37">
      <c r="A252" s="40" t="s">
        <v>514</v>
      </c>
      <c r="B252" s="41" t="s">
        <v>515</v>
      </c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39"/>
      <c r="AJ252" s="39"/>
      <c r="AK252" s="39"/>
    </row>
    <row r="253" spans="1:37">
      <c r="A253" s="40" t="s">
        <v>516</v>
      </c>
      <c r="B253" s="41" t="s">
        <v>517</v>
      </c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39"/>
      <c r="AJ253" s="39"/>
      <c r="AK253" s="39"/>
    </row>
    <row r="254" spans="1:37">
      <c r="A254" s="40" t="s">
        <v>518</v>
      </c>
      <c r="B254" s="41" t="s">
        <v>519</v>
      </c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39"/>
      <c r="AJ254" s="39"/>
      <c r="AK254" s="39"/>
    </row>
    <row r="255" spans="1:37" customHeight="1" ht="30">
      <c r="A255" s="40" t="s">
        <v>520</v>
      </c>
      <c r="B255" s="41" t="s">
        <v>521</v>
      </c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39"/>
      <c r="AJ255" s="39"/>
      <c r="AK255" s="39"/>
    </row>
    <row r="256" spans="1:37" customHeight="1" ht="30">
      <c r="A256" s="40" t="s">
        <v>522</v>
      </c>
      <c r="B256" s="41" t="s">
        <v>523</v>
      </c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39"/>
      <c r="AJ256" s="39"/>
      <c r="AK256" s="39"/>
    </row>
    <row r="257" spans="1:37">
      <c r="A257" s="40" t="s">
        <v>524</v>
      </c>
      <c r="B257" s="41" t="s">
        <v>525</v>
      </c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39"/>
      <c r="AJ257" s="39"/>
      <c r="AK257" s="39"/>
    </row>
    <row r="258" spans="1:37">
      <c r="A258" s="40" t="s">
        <v>526</v>
      </c>
      <c r="B258" s="41" t="s">
        <v>527</v>
      </c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39"/>
      <c r="AJ258" s="39"/>
      <c r="AK258" s="39"/>
    </row>
    <row r="259" spans="1:37">
      <c r="A259" s="40" t="s">
        <v>528</v>
      </c>
      <c r="B259" s="41" t="s">
        <v>529</v>
      </c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39"/>
      <c r="AJ259" s="39"/>
      <c r="AK259" s="39"/>
    </row>
    <row r="260" spans="1:37" customHeight="1" ht="30">
      <c r="A260" s="40" t="s">
        <v>530</v>
      </c>
      <c r="B260" s="41" t="s">
        <v>531</v>
      </c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39"/>
      <c r="AJ260" s="39"/>
      <c r="AK260" s="39"/>
    </row>
    <row r="261" spans="1:37">
      <c r="A261" s="40" t="s">
        <v>532</v>
      </c>
      <c r="B261" s="41" t="s">
        <v>533</v>
      </c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39"/>
      <c r="AJ261" s="39"/>
      <c r="AK261" s="39"/>
    </row>
    <row r="262" spans="1:37">
      <c r="A262" s="40" t="s">
        <v>534</v>
      </c>
      <c r="B262" s="41" t="s">
        <v>535</v>
      </c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39"/>
      <c r="AJ262" s="39"/>
      <c r="AK262" s="39"/>
    </row>
    <row r="263" spans="1:37" customHeight="1" ht="30">
      <c r="A263" s="40" t="s">
        <v>536</v>
      </c>
      <c r="B263" s="41" t="s">
        <v>537</v>
      </c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39"/>
      <c r="AJ263" s="39"/>
      <c r="AK263" s="39"/>
    </row>
    <row r="264" spans="1:37">
      <c r="A264" s="40" t="s">
        <v>538</v>
      </c>
      <c r="B264" s="41" t="s">
        <v>539</v>
      </c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39"/>
      <c r="AJ264" s="39"/>
      <c r="AK264" s="39"/>
    </row>
    <row r="265" spans="1:37" customHeight="1" ht="30">
      <c r="A265" s="40" t="s">
        <v>540</v>
      </c>
      <c r="B265" s="41" t="s">
        <v>541</v>
      </c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39"/>
      <c r="AJ265" s="39"/>
      <c r="AK265" s="39"/>
    </row>
    <row r="266" spans="1:37">
      <c r="A266" s="40" t="s">
        <v>542</v>
      </c>
      <c r="B266" s="41" t="s">
        <v>543</v>
      </c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39"/>
      <c r="AJ266" s="39"/>
      <c r="AK266" s="39"/>
    </row>
    <row r="267" spans="1:37" customHeight="1" ht="42.75">
      <c r="A267" s="40" t="s">
        <v>544</v>
      </c>
      <c r="B267" s="41" t="s">
        <v>545</v>
      </c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39"/>
      <c r="AJ267" s="39"/>
      <c r="AK267" s="39"/>
    </row>
    <row r="268" spans="1:37" customHeight="1" ht="31.5">
      <c r="A268" s="37" t="s">
        <v>546</v>
      </c>
      <c r="B268" s="43" t="s">
        <v>547</v>
      </c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</row>
    <row r="269" spans="1:37">
      <c r="A269" s="40" t="s">
        <v>548</v>
      </c>
      <c r="B269" s="41" t="s">
        <v>549</v>
      </c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39"/>
      <c r="AJ269" s="39"/>
      <c r="AK269" s="39"/>
    </row>
    <row r="270" spans="1:37">
      <c r="A270" s="40" t="s">
        <v>550</v>
      </c>
      <c r="B270" s="41" t="s">
        <v>551</v>
      </c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39"/>
      <c r="AJ270" s="39"/>
      <c r="AK270" s="39"/>
    </row>
    <row r="271" spans="1:37" customHeight="1" ht="30">
      <c r="A271" s="40" t="s">
        <v>552</v>
      </c>
      <c r="B271" s="41" t="s">
        <v>553</v>
      </c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39"/>
      <c r="AJ271" s="39"/>
      <c r="AK271" s="39"/>
    </row>
    <row r="272" spans="1:37" customHeight="1" ht="45">
      <c r="A272" s="40" t="s">
        <v>554</v>
      </c>
      <c r="B272" s="41" t="s">
        <v>555</v>
      </c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39"/>
      <c r="AJ272" s="39"/>
      <c r="AK272" s="39"/>
    </row>
    <row r="273" spans="1:37" customHeight="1" ht="45">
      <c r="A273" s="40" t="s">
        <v>556</v>
      </c>
      <c r="B273" s="41" t="s">
        <v>557</v>
      </c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39"/>
      <c r="AJ273" s="39"/>
      <c r="AK273" s="39"/>
    </row>
    <row r="274" spans="1:37" customHeight="1" ht="45">
      <c r="A274" s="40" t="s">
        <v>558</v>
      </c>
      <c r="B274" s="41" t="s">
        <v>559</v>
      </c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39"/>
      <c r="AJ274" s="39"/>
      <c r="AK274" s="39"/>
    </row>
    <row r="275" spans="1:37">
      <c r="A275" s="40" t="s">
        <v>560</v>
      </c>
      <c r="B275" s="41" t="s">
        <v>561</v>
      </c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39"/>
      <c r="AJ275" s="39"/>
      <c r="AK275" s="39"/>
    </row>
    <row r="276" spans="1:37">
      <c r="A276" s="40" t="s">
        <v>562</v>
      </c>
      <c r="B276" s="41" t="s">
        <v>563</v>
      </c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39"/>
      <c r="AJ276" s="39"/>
      <c r="AK276" s="39"/>
    </row>
    <row r="277" spans="1:37" customHeight="1" ht="42.75">
      <c r="A277" s="40" t="s">
        <v>564</v>
      </c>
      <c r="B277" s="41" t="s">
        <v>565</v>
      </c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39"/>
      <c r="AJ277" s="39"/>
      <c r="AK277" s="39"/>
    </row>
    <row r="278" spans="1:37">
      <c r="A278" s="40" t="s">
        <v>566</v>
      </c>
      <c r="B278" s="41" t="s">
        <v>567</v>
      </c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39"/>
      <c r="AJ278" s="39"/>
      <c r="AK278" s="39"/>
    </row>
    <row r="279" spans="1:37" customHeight="1" ht="45">
      <c r="A279" s="40" t="s">
        <v>568</v>
      </c>
      <c r="B279" s="41" t="s">
        <v>569</v>
      </c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39"/>
      <c r="AJ279" s="39"/>
      <c r="AK279" s="39"/>
    </row>
    <row r="280" spans="1:37" customHeight="1" ht="31.5">
      <c r="A280" s="37" t="s">
        <v>570</v>
      </c>
      <c r="B280" s="43" t="s">
        <v>571</v>
      </c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</row>
    <row r="281" spans="1:37" customHeight="1" ht="60">
      <c r="A281" s="40" t="s">
        <v>572</v>
      </c>
      <c r="B281" s="41" t="s">
        <v>573</v>
      </c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39"/>
      <c r="AJ281" s="39"/>
      <c r="AK281" s="39"/>
    </row>
    <row r="282" spans="1:37" customHeight="1" ht="45">
      <c r="A282" s="40" t="s">
        <v>574</v>
      </c>
      <c r="B282" s="41" t="s">
        <v>575</v>
      </c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39"/>
      <c r="AJ282" s="39"/>
      <c r="AK282" s="39"/>
    </row>
    <row r="283" spans="1:37">
      <c r="A283" s="40" t="s">
        <v>576</v>
      </c>
      <c r="B283" s="41" t="s">
        <v>577</v>
      </c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39"/>
      <c r="AJ283" s="39"/>
      <c r="AK283" s="39"/>
    </row>
    <row r="284" spans="1:37" customHeight="1" ht="30">
      <c r="A284" s="40" t="s">
        <v>578</v>
      </c>
      <c r="B284" s="41" t="s">
        <v>579</v>
      </c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39"/>
      <c r="AJ284" s="39"/>
      <c r="AK284" s="39"/>
    </row>
    <row r="285" spans="1:37" customHeight="1" ht="30">
      <c r="A285" s="40" t="s">
        <v>580</v>
      </c>
      <c r="B285" s="41" t="s">
        <v>581</v>
      </c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39"/>
      <c r="AJ285" s="39"/>
      <c r="AK285" s="39"/>
    </row>
    <row r="286" spans="1:37" customHeight="1" ht="30">
      <c r="A286" s="40" t="s">
        <v>582</v>
      </c>
      <c r="B286" s="41" t="s">
        <v>583</v>
      </c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39"/>
      <c r="AJ286" s="39"/>
      <c r="AK286" s="39"/>
    </row>
    <row r="287" spans="1:37" customHeight="1" ht="30">
      <c r="A287" s="40" t="s">
        <v>584</v>
      </c>
      <c r="B287" s="41" t="s">
        <v>585</v>
      </c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39"/>
      <c r="AJ287" s="39"/>
      <c r="AK287" s="39"/>
    </row>
    <row r="288" spans="1:37" customHeight="1" ht="30">
      <c r="A288" s="40" t="s">
        <v>586</v>
      </c>
      <c r="B288" s="41" t="s">
        <v>587</v>
      </c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39"/>
      <c r="AJ288" s="39"/>
      <c r="AK288" s="39"/>
    </row>
    <row r="289" spans="1:37" customHeight="1" ht="30">
      <c r="A289" s="40" t="s">
        <v>588</v>
      </c>
      <c r="B289" s="41" t="s">
        <v>589</v>
      </c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39"/>
      <c r="AJ289" s="39"/>
      <c r="AK289" s="39"/>
    </row>
    <row r="290" spans="1:37" customHeight="1" ht="47.25">
      <c r="A290" s="37" t="s">
        <v>590</v>
      </c>
      <c r="B290" s="43" t="s">
        <v>591</v>
      </c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</row>
    <row r="291" spans="1:37">
      <c r="A291" s="40" t="s">
        <v>592</v>
      </c>
      <c r="B291" s="41" t="s">
        <v>593</v>
      </c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39"/>
      <c r="AJ291" s="39"/>
      <c r="AK291" s="39"/>
    </row>
    <row r="292" spans="1:37" customHeight="1" ht="30">
      <c r="A292" s="40" t="s">
        <v>594</v>
      </c>
      <c r="B292" s="41" t="s">
        <v>595</v>
      </c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39"/>
      <c r="AJ292" s="39"/>
      <c r="AK292" s="39"/>
    </row>
    <row r="293" spans="1:37" customHeight="1" ht="30">
      <c r="A293" s="40" t="s">
        <v>596</v>
      </c>
      <c r="B293" s="41" t="s">
        <v>597</v>
      </c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39"/>
      <c r="AJ293" s="39"/>
      <c r="AK293" s="39"/>
    </row>
    <row r="294" spans="1:37">
      <c r="A294" s="40" t="s">
        <v>598</v>
      </c>
      <c r="B294" s="41" t="s">
        <v>599</v>
      </c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39"/>
      <c r="AJ294" s="39"/>
      <c r="AK294" s="39"/>
    </row>
    <row r="295" spans="1:37" customHeight="1" ht="30">
      <c r="A295" s="40" t="s">
        <v>600</v>
      </c>
      <c r="B295" s="41" t="s">
        <v>601</v>
      </c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39"/>
      <c r="AJ295" s="39"/>
      <c r="AK295" s="39"/>
    </row>
    <row r="296" spans="1:37" customHeight="1" ht="30">
      <c r="A296" s="40" t="s">
        <v>602</v>
      </c>
      <c r="B296" s="41" t="s">
        <v>603</v>
      </c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39"/>
      <c r="AJ296" s="39"/>
      <c r="AK296" s="39"/>
    </row>
    <row r="297" spans="1:37">
      <c r="A297" s="40" t="s">
        <v>604</v>
      </c>
      <c r="B297" s="41" t="s">
        <v>605</v>
      </c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39"/>
      <c r="AJ297" s="39"/>
      <c r="AK297" s="39"/>
    </row>
    <row r="298" spans="1:37" customHeight="1" ht="30">
      <c r="A298" s="40" t="s">
        <v>606</v>
      </c>
      <c r="B298" s="41" t="s">
        <v>607</v>
      </c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39"/>
      <c r="AJ298" s="39"/>
      <c r="AK298" s="39"/>
    </row>
    <row r="299" spans="1:37">
      <c r="A299" s="40" t="s">
        <v>608</v>
      </c>
      <c r="B299" s="41" t="s">
        <v>609</v>
      </c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39"/>
      <c r="AJ299" s="39"/>
      <c r="AK299" s="39"/>
    </row>
    <row r="300" spans="1:37">
      <c r="A300" s="40" t="s">
        <v>610</v>
      </c>
      <c r="B300" s="41" t="s">
        <v>611</v>
      </c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39"/>
      <c r="AJ300" s="39"/>
      <c r="AK300" s="39"/>
    </row>
    <row r="301" spans="1:37" customHeight="1" ht="45">
      <c r="A301" s="40" t="s">
        <v>612</v>
      </c>
      <c r="B301" s="41" t="s">
        <v>613</v>
      </c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39"/>
      <c r="AJ301" s="39"/>
      <c r="AK301" s="39"/>
    </row>
    <row r="302" spans="1:37" customHeight="1" ht="28.5">
      <c r="A302" s="40" t="s">
        <v>614</v>
      </c>
      <c r="B302" s="41" t="s">
        <v>615</v>
      </c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39"/>
      <c r="AJ302" s="39"/>
      <c r="AK302" s="39"/>
    </row>
    <row r="303" spans="1:37" customHeight="1" ht="30">
      <c r="A303" s="40" t="s">
        <v>616</v>
      </c>
      <c r="B303" s="41" t="s">
        <v>617</v>
      </c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39"/>
      <c r="AJ303" s="39"/>
      <c r="AK303" s="39"/>
    </row>
    <row r="304" spans="1:37">
      <c r="A304" s="40" t="s">
        <v>618</v>
      </c>
      <c r="B304" s="41" t="s">
        <v>619</v>
      </c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39"/>
      <c r="AJ304" s="39"/>
      <c r="AK304" s="39"/>
    </row>
    <row r="305" spans="1:37">
      <c r="A305" s="40" t="s">
        <v>620</v>
      </c>
      <c r="B305" s="41" t="s">
        <v>621</v>
      </c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39"/>
      <c r="AJ305" s="39"/>
      <c r="AK305" s="39"/>
    </row>
    <row r="306" spans="1:37">
      <c r="A306" s="40" t="s">
        <v>622</v>
      </c>
      <c r="B306" s="41" t="s">
        <v>623</v>
      </c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39"/>
      <c r="AJ306" s="39"/>
      <c r="AK306" s="39"/>
    </row>
    <row r="307" spans="1:37" customHeight="1" ht="45">
      <c r="A307" s="40" t="s">
        <v>624</v>
      </c>
      <c r="B307" s="41" t="s">
        <v>625</v>
      </c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39"/>
      <c r="AJ307" s="39"/>
      <c r="AK307" s="39"/>
    </row>
    <row r="308" spans="1:37" customHeight="1" ht="47.25">
      <c r="A308" s="44" t="s">
        <v>626</v>
      </c>
      <c r="B308" s="45" t="s">
        <v>627</v>
      </c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</row>
    <row r="309" spans="1:37">
      <c r="A309" s="46" t="s">
        <v>628</v>
      </c>
      <c r="B309" s="47" t="s">
        <v>629</v>
      </c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39"/>
      <c r="AJ309" s="39"/>
      <c r="AK309" s="39"/>
    </row>
    <row r="310" spans="1:37">
      <c r="A310" s="46" t="s">
        <v>630</v>
      </c>
      <c r="B310" s="47" t="s">
        <v>631</v>
      </c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39"/>
      <c r="AJ310" s="39"/>
      <c r="AK310" s="39"/>
    </row>
    <row r="311" spans="1:37">
      <c r="A311" s="46" t="s">
        <v>632</v>
      </c>
      <c r="B311" s="47" t="s">
        <v>633</v>
      </c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39"/>
      <c r="AJ311" s="39"/>
      <c r="AK311" s="39"/>
    </row>
    <row r="312" spans="1:37" customHeight="1" ht="28.5">
      <c r="A312" s="46" t="s">
        <v>634</v>
      </c>
      <c r="B312" s="47" t="s">
        <v>635</v>
      </c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39"/>
      <c r="AJ312" s="39"/>
      <c r="AK312" s="39"/>
    </row>
    <row r="313" spans="1:37" customHeight="1" ht="30">
      <c r="A313" s="46" t="s">
        <v>636</v>
      </c>
      <c r="B313" s="47" t="s">
        <v>637</v>
      </c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39"/>
      <c r="AJ313" s="39"/>
      <c r="AK313" s="39"/>
    </row>
    <row r="314" spans="1:37" customHeight="1" ht="42.75">
      <c r="A314" s="46" t="s">
        <v>638</v>
      </c>
      <c r="B314" s="47" t="s">
        <v>639</v>
      </c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39"/>
      <c r="AJ314" s="39"/>
      <c r="AK314" s="39"/>
    </row>
    <row r="315" spans="1:37">
      <c r="A315" s="46" t="s">
        <v>640</v>
      </c>
      <c r="B315" s="47" t="s">
        <v>641</v>
      </c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39"/>
      <c r="AJ315" s="39"/>
      <c r="AK315" s="39"/>
    </row>
    <row r="316" spans="1:37">
      <c r="A316" s="46" t="s">
        <v>642</v>
      </c>
      <c r="B316" s="47" t="s">
        <v>643</v>
      </c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39"/>
      <c r="AJ316" s="39"/>
      <c r="AK316" s="39"/>
    </row>
    <row r="317" spans="1:37">
      <c r="A317" s="46" t="s">
        <v>644</v>
      </c>
      <c r="B317" s="47" t="s">
        <v>645</v>
      </c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39"/>
      <c r="AJ317" s="39"/>
      <c r="AK317" s="39"/>
    </row>
    <row r="318" spans="1:37" customHeight="1" ht="71.25">
      <c r="A318" s="46" t="s">
        <v>646</v>
      </c>
      <c r="B318" s="47" t="s">
        <v>647</v>
      </c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39"/>
      <c r="AJ318" s="39"/>
      <c r="AK318" s="39"/>
    </row>
    <row r="319" spans="1:37" customHeight="1" ht="185.25">
      <c r="A319" s="46" t="s">
        <v>648</v>
      </c>
      <c r="B319" s="47" t="s">
        <v>649</v>
      </c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39"/>
      <c r="AJ319" s="39"/>
      <c r="AK319" s="39"/>
    </row>
    <row r="320" spans="1:37" customHeight="1" ht="75">
      <c r="A320" s="46" t="s">
        <v>722</v>
      </c>
      <c r="B320" s="47" t="s">
        <v>723</v>
      </c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39"/>
      <c r="AJ320" s="39"/>
      <c r="AK320" s="39"/>
    </row>
    <row r="321" spans="1:37" customHeight="1" ht="30">
      <c r="A321" s="46" t="s">
        <v>650</v>
      </c>
      <c r="B321" s="47" t="s">
        <v>651</v>
      </c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39"/>
      <c r="AJ321" s="39"/>
      <c r="AK321" s="39"/>
    </row>
    <row r="322" spans="1:37">
      <c r="A322" s="46" t="s">
        <v>652</v>
      </c>
      <c r="B322" s="47" t="s">
        <v>653</v>
      </c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39"/>
      <c r="AJ322" s="39"/>
      <c r="AK322" s="39"/>
    </row>
    <row r="323" spans="1:37" customHeight="1" ht="30">
      <c r="A323" s="46" t="s">
        <v>654</v>
      </c>
      <c r="B323" s="47" t="s">
        <v>655</v>
      </c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39"/>
      <c r="AJ323" s="39"/>
      <c r="AK323" s="39"/>
    </row>
    <row r="324" spans="1:37" customHeight="1" ht="30">
      <c r="A324" s="46" t="s">
        <v>656</v>
      </c>
      <c r="B324" s="47" t="s">
        <v>657</v>
      </c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39"/>
      <c r="AJ324" s="39"/>
      <c r="AK324" s="39"/>
    </row>
    <row r="325" spans="1:37">
      <c r="A325" s="46" t="s">
        <v>658</v>
      </c>
      <c r="B325" s="47" t="s">
        <v>659</v>
      </c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39"/>
      <c r="AJ325" s="39"/>
      <c r="AK325" s="39"/>
    </row>
    <row r="326" spans="1:37" customHeight="1" ht="30">
      <c r="A326" s="46" t="s">
        <v>660</v>
      </c>
      <c r="B326" s="47" t="s">
        <v>661</v>
      </c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39"/>
      <c r="AJ326" s="39"/>
      <c r="AK326" s="39"/>
    </row>
    <row r="327" spans="1:37" customHeight="1" ht="60">
      <c r="A327" s="46" t="s">
        <v>662</v>
      </c>
      <c r="B327" s="47" t="s">
        <v>663</v>
      </c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39"/>
      <c r="AJ327" s="39"/>
      <c r="AK327" s="39"/>
    </row>
    <row r="328" spans="1:37" customHeight="1" ht="45">
      <c r="A328" s="46" t="s">
        <v>664</v>
      </c>
      <c r="B328" s="47" t="s">
        <v>665</v>
      </c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39"/>
      <c r="AJ328" s="39"/>
      <c r="AK328" s="39"/>
    </row>
    <row r="329" spans="1:37" customHeight="1" ht="31.5">
      <c r="A329" s="44" t="s">
        <v>666</v>
      </c>
      <c r="B329" s="45" t="s">
        <v>667</v>
      </c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</row>
    <row r="330" spans="1:37" customHeight="1" ht="45">
      <c r="A330" s="46" t="s">
        <v>668</v>
      </c>
      <c r="B330" s="47" t="s">
        <v>669</v>
      </c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39"/>
      <c r="AJ330" s="39"/>
      <c r="AK330" s="39"/>
    </row>
    <row r="331" spans="1:37" customHeight="1" ht="45">
      <c r="A331" s="46" t="s">
        <v>670</v>
      </c>
      <c r="B331" s="47" t="s">
        <v>671</v>
      </c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39"/>
      <c r="AJ331" s="39"/>
      <c r="AK331" s="39"/>
    </row>
    <row r="332" spans="1:37" customHeight="1" ht="45">
      <c r="A332" s="46" t="s">
        <v>672</v>
      </c>
      <c r="B332" s="47" t="s">
        <v>673</v>
      </c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39"/>
      <c r="AJ332" s="39"/>
      <c r="AK332" s="39"/>
    </row>
    <row r="333" spans="1:37">
      <c r="A333" s="46" t="s">
        <v>674</v>
      </c>
      <c r="B333" s="47" t="s">
        <v>675</v>
      </c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39"/>
      <c r="AJ333" s="39"/>
      <c r="AK333" s="39"/>
    </row>
    <row r="334" spans="1:37" customHeight="1" ht="30">
      <c r="A334" s="46" t="s">
        <v>676</v>
      </c>
      <c r="B334" s="47" t="s">
        <v>677</v>
      </c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39"/>
      <c r="AJ334" s="39"/>
      <c r="AK334" s="39"/>
    </row>
    <row r="335" spans="1:37" customHeight="1" ht="30">
      <c r="A335" s="46" t="s">
        <v>678</v>
      </c>
      <c r="B335" s="47" t="s">
        <v>679</v>
      </c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39"/>
      <c r="AJ335" s="39"/>
      <c r="AK335" s="39"/>
    </row>
    <row r="336" spans="1:37">
      <c r="A336" s="46" t="s">
        <v>680</v>
      </c>
      <c r="B336" s="47" t="s">
        <v>681</v>
      </c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39"/>
      <c r="AJ336" s="39"/>
      <c r="AK336" s="39"/>
    </row>
    <row r="337" spans="1:37" customHeight="1" ht="45">
      <c r="A337" s="46" t="s">
        <v>682</v>
      </c>
      <c r="B337" s="47" t="s">
        <v>683</v>
      </c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39"/>
      <c r="AJ337" s="39"/>
      <c r="AK337" s="39"/>
    </row>
    <row r="338" spans="1:37" customHeight="1" ht="30">
      <c r="A338" s="46" t="s">
        <v>684</v>
      </c>
      <c r="B338" s="47" t="s">
        <v>685</v>
      </c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39"/>
      <c r="AJ338" s="39"/>
      <c r="AK338" s="39"/>
    </row>
    <row r="339" spans="1:37" customHeight="1" ht="15.75">
      <c r="A339" s="44" t="s">
        <v>686</v>
      </c>
      <c r="B339" s="45" t="s">
        <v>687</v>
      </c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</row>
    <row r="340" spans="1:37">
      <c r="A340" s="46" t="s">
        <v>688</v>
      </c>
      <c r="B340" s="47" t="s">
        <v>689</v>
      </c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39"/>
      <c r="AJ340" s="39"/>
      <c r="AK340" s="39"/>
    </row>
    <row r="341" spans="1:37">
      <c r="A341" s="46" t="s">
        <v>690</v>
      </c>
      <c r="B341" s="47" t="s">
        <v>691</v>
      </c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39"/>
      <c r="AJ341" s="39"/>
      <c r="AK341" s="39"/>
    </row>
    <row r="342" spans="1:37">
      <c r="A342" s="46" t="s">
        <v>692</v>
      </c>
      <c r="B342" s="47" t="s">
        <v>693</v>
      </c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39"/>
      <c r="AJ342" s="39"/>
      <c r="AK342" s="39"/>
    </row>
    <row r="343" spans="1:37">
      <c r="A343" s="46" t="s">
        <v>694</v>
      </c>
      <c r="B343" s="47" t="s">
        <v>695</v>
      </c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39"/>
      <c r="AJ343" s="39"/>
      <c r="AK343" s="39"/>
    </row>
    <row r="344" spans="1:37" customHeight="1" ht="30">
      <c r="A344" s="46" t="s">
        <v>696</v>
      </c>
      <c r="B344" s="47" t="s">
        <v>697</v>
      </c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39"/>
      <c r="AJ344" s="39"/>
      <c r="AK344" s="39"/>
    </row>
    <row r="345" spans="1:37" customHeight="1" ht="30">
      <c r="A345" s="46" t="s">
        <v>698</v>
      </c>
      <c r="B345" s="47" t="s">
        <v>699</v>
      </c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39"/>
      <c r="AJ345" s="39"/>
      <c r="AK345" s="39"/>
    </row>
    <row r="346" spans="1:37">
      <c r="A346" s="48"/>
      <c r="B346" s="49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</row>
    <row r="347" spans="1:37">
      <c r="A347" s="48"/>
      <c r="B347" s="49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</row>
    <row r="348" spans="1:37">
      <c r="A348" s="48"/>
      <c r="B348" s="49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</row>
    <row r="349" spans="1:37">
      <c r="A349" s="48"/>
      <c r="B349" s="49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</row>
    <row r="350" spans="1:37">
      <c r="A350" s="48"/>
      <c r="B350" s="49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</row>
    <row r="351" spans="1:37">
      <c r="A351" s="48"/>
      <c r="B351" s="49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</row>
    <row r="352" spans="1:37">
      <c r="A352" s="48"/>
      <c r="B352" s="49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</row>
    <row r="353" spans="1:37">
      <c r="A353" s="48"/>
      <c r="B353" s="49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</row>
    <row r="354" spans="1:37">
      <c r="A354" s="48"/>
      <c r="B354" s="49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</row>
    <row r="355" spans="1:37">
      <c r="A355" s="48"/>
      <c r="B355" s="49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</row>
    <row r="356" spans="1:37">
      <c r="A356" s="48"/>
      <c r="B356" s="49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</row>
    <row r="357" spans="1:37">
      <c r="A357" s="48"/>
      <c r="B357" s="49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</row>
    <row r="358" spans="1:37">
      <c r="A358" s="48"/>
      <c r="B358" s="49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</row>
    <row r="359" spans="1:37">
      <c r="A359" s="48"/>
      <c r="B359" s="49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</row>
    <row r="360" spans="1:37">
      <c r="A360" s="48"/>
      <c r="B360" s="49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</row>
    <row r="361" spans="1:37">
      <c r="A361" s="48"/>
      <c r="B361" s="49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</row>
    <row r="362" spans="1:37">
      <c r="A362" s="48"/>
      <c r="B362" s="49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</row>
    <row r="363" spans="1:37">
      <c r="A363" s="48"/>
      <c r="B363" s="49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</row>
    <row r="364" spans="1:37">
      <c r="A364" s="48"/>
      <c r="B364" s="49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</row>
    <row r="365" spans="1:37">
      <c r="A365" s="48"/>
      <c r="B365" s="49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</row>
    <row r="366" spans="1:37">
      <c r="A366" s="48"/>
      <c r="B366" s="49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</row>
    <row r="367" spans="1:37">
      <c r="A367" s="48"/>
      <c r="B367" s="49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</row>
    <row r="368" spans="1:37">
      <c r="A368" s="48"/>
      <c r="B368" s="49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</row>
    <row r="369" spans="1:37">
      <c r="A369" s="48"/>
      <c r="B369" s="49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</row>
    <row r="370" spans="1:37">
      <c r="A370" s="48"/>
      <c r="B370" s="49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</row>
    <row r="371" spans="1:37">
      <c r="A371" s="48"/>
      <c r="B371" s="49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</row>
    <row r="372" spans="1:37">
      <c r="A372" s="48"/>
      <c r="B372" s="49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</row>
    <row r="373" spans="1:37">
      <c r="A373" s="48"/>
      <c r="B373" s="49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</row>
    <row r="374" spans="1:37">
      <c r="A374" s="48"/>
      <c r="B374" s="49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</row>
    <row r="375" spans="1:37">
      <c r="A375" s="48"/>
      <c r="B375" s="49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</row>
    <row r="376" spans="1:37">
      <c r="A376" s="48"/>
      <c r="B376" s="49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</row>
    <row r="377" spans="1:37">
      <c r="A377" s="48"/>
      <c r="B377" s="49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</row>
    <row r="378" spans="1:37">
      <c r="A378" s="48"/>
      <c r="B378" s="49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</row>
    <row r="379" spans="1:37">
      <c r="A379" s="48"/>
      <c r="B379" s="49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</row>
    <row r="380" spans="1:37">
      <c r="A380" s="48"/>
      <c r="B380" s="49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</row>
    <row r="381" spans="1:37">
      <c r="A381" s="48"/>
      <c r="B381" s="49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</row>
    <row r="382" spans="1:37">
      <c r="A382" s="48"/>
      <c r="B382" s="49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</row>
    <row r="383" spans="1:37">
      <c r="A383" s="48"/>
      <c r="B383" s="49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</row>
    <row r="384" spans="1:37">
      <c r="A384" s="48"/>
      <c r="B384" s="49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</row>
    <row r="385" spans="1:37">
      <c r="A385" s="48"/>
      <c r="B385" s="49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</row>
    <row r="386" spans="1:37">
      <c r="A386" s="48"/>
      <c r="B386" s="49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</row>
    <row r="387" spans="1:37">
      <c r="A387" s="48"/>
      <c r="B387" s="49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</row>
    <row r="388" spans="1:37">
      <c r="A388" s="48"/>
      <c r="B388" s="49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</row>
    <row r="389" spans="1:37">
      <c r="A389" s="48"/>
      <c r="B389" s="49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</row>
    <row r="390" spans="1:37">
      <c r="A390" s="48"/>
      <c r="B390" s="49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</row>
    <row r="391" spans="1:37">
      <c r="A391" s="48"/>
      <c r="B391" s="49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</row>
    <row r="392" spans="1:37">
      <c r="A392" s="48"/>
      <c r="B392" s="49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</row>
    <row r="393" spans="1:37">
      <c r="A393" s="48"/>
      <c r="B393" s="49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</row>
    <row r="394" spans="1:37">
      <c r="A394" s="48"/>
      <c r="B394" s="49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</row>
    <row r="395" spans="1:37">
      <c r="A395" s="48"/>
      <c r="B395" s="49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</row>
    <row r="396" spans="1:37">
      <c r="A396" s="48"/>
      <c r="B396" s="49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</row>
    <row r="397" spans="1:37">
      <c r="A397" s="48"/>
      <c r="B397" s="49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</row>
    <row r="398" spans="1:37">
      <c r="A398" s="48"/>
      <c r="B398" s="49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</row>
    <row r="399" spans="1:37">
      <c r="A399" s="48"/>
      <c r="B399" s="49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</row>
    <row r="400" spans="1:37">
      <c r="A400" s="48"/>
      <c r="B400" s="49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</row>
    <row r="401" spans="1:37">
      <c r="A401" s="48"/>
      <c r="B401" s="49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</row>
    <row r="402" spans="1:37">
      <c r="A402" s="48"/>
      <c r="B402" s="49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</row>
    <row r="403" spans="1:37">
      <c r="A403" s="48"/>
      <c r="B403" s="49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</row>
    <row r="404" spans="1:37">
      <c r="A404" s="48"/>
      <c r="B404" s="49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</row>
    <row r="405" spans="1:37">
      <c r="A405" s="48"/>
      <c r="B405" s="49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</row>
    <row r="406" spans="1:37">
      <c r="A406" s="48"/>
      <c r="B406" s="49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</row>
    <row r="407" spans="1:37">
      <c r="A407" s="48"/>
      <c r="B407" s="49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</row>
    <row r="408" spans="1:37">
      <c r="A408" s="48"/>
      <c r="B408" s="49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</row>
    <row r="409" spans="1:37">
      <c r="A409" s="48"/>
      <c r="B409" s="49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</row>
    <row r="410" spans="1:37">
      <c r="A410" s="48"/>
      <c r="B410" s="49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</row>
    <row r="411" spans="1:37">
      <c r="A411" s="48"/>
      <c r="B411" s="49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</row>
    <row r="412" spans="1:37">
      <c r="A412" s="48"/>
      <c r="B412" s="49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</row>
    <row r="413" spans="1:37">
      <c r="A413" s="48"/>
      <c r="B413" s="49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</row>
    <row r="414" spans="1:37">
      <c r="A414" s="48"/>
      <c r="B414" s="49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</row>
    <row r="415" spans="1:37">
      <c r="A415" s="48"/>
      <c r="B415" s="49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</row>
    <row r="416" spans="1:37">
      <c r="A416" s="48"/>
      <c r="B416" s="49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</row>
    <row r="417" spans="1:37">
      <c r="A417" s="48"/>
      <c r="B417" s="49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</row>
    <row r="418" spans="1:37">
      <c r="A418" s="48"/>
      <c r="B418" s="49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</row>
    <row r="419" spans="1:37">
      <c r="A419" s="48"/>
      <c r="B419" s="49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</row>
    <row r="420" spans="1:37">
      <c r="A420" s="48"/>
      <c r="B420" s="49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</row>
    <row r="421" spans="1:37">
      <c r="A421" s="48"/>
      <c r="B421" s="49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</row>
    <row r="422" spans="1:37">
      <c r="A422" s="48"/>
      <c r="B422" s="49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</row>
    <row r="423" spans="1:37">
      <c r="A423" s="48"/>
      <c r="B423" s="49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</row>
    <row r="424" spans="1:37">
      <c r="A424" s="48"/>
      <c r="B424" s="49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</row>
    <row r="425" spans="1:37">
      <c r="A425" s="48"/>
      <c r="B425" s="49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</row>
    <row r="426" spans="1:37">
      <c r="A426" s="48"/>
      <c r="B426" s="49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</row>
    <row r="427" spans="1:37">
      <c r="A427" s="48"/>
      <c r="B427" s="49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</row>
    <row r="428" spans="1:37">
      <c r="A428" s="48"/>
      <c r="B428" s="49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</row>
    <row r="429" spans="1:37">
      <c r="A429" s="48"/>
      <c r="B429" s="49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</row>
    <row r="430" spans="1:37">
      <c r="A430" s="48"/>
      <c r="B430" s="49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</row>
    <row r="431" spans="1:37">
      <c r="A431" s="48"/>
      <c r="B431" s="49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</row>
    <row r="432" spans="1:37">
      <c r="A432" s="48"/>
      <c r="B432" s="49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</row>
    <row r="433" spans="1:37">
      <c r="A433" s="48"/>
      <c r="B433" s="49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</row>
    <row r="434" spans="1:37">
      <c r="A434" s="48"/>
      <c r="B434" s="49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</row>
    <row r="435" spans="1:37">
      <c r="A435" s="48"/>
      <c r="B435" s="49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</row>
    <row r="436" spans="1:37">
      <c r="A436" s="48"/>
      <c r="B436" s="49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</row>
    <row r="437" spans="1:37">
      <c r="A437" s="48"/>
      <c r="B437" s="49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</row>
    <row r="438" spans="1:37">
      <c r="A438" s="48"/>
      <c r="B438" s="49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</row>
    <row r="439" spans="1:37">
      <c r="A439" s="48"/>
      <c r="B439" s="49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</row>
    <row r="440" spans="1:37">
      <c r="A440" s="48"/>
      <c r="B440" s="49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</row>
    <row r="441" spans="1:37">
      <c r="A441" s="48"/>
      <c r="B441" s="49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</row>
    <row r="442" spans="1:37">
      <c r="A442" s="48"/>
      <c r="B442" s="49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</row>
    <row r="443" spans="1:37">
      <c r="A443" s="48"/>
      <c r="B443" s="49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</row>
    <row r="444" spans="1:37">
      <c r="A444" s="48"/>
      <c r="B444" s="49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</row>
    <row r="445" spans="1:37">
      <c r="A445" s="48"/>
      <c r="B445" s="49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</row>
    <row r="446" spans="1:37">
      <c r="A446" s="48"/>
      <c r="B446" s="49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</row>
    <row r="447" spans="1:37">
      <c r="A447" s="48"/>
      <c r="B447" s="49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</row>
    <row r="448" spans="1:37">
      <c r="A448" s="48"/>
      <c r="B448" s="49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</row>
    <row r="449" spans="1:37">
      <c r="A449" s="48"/>
      <c r="B449" s="49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</row>
    <row r="450" spans="1:37">
      <c r="A450" s="48"/>
      <c r="B450" s="49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</row>
    <row r="451" spans="1:37">
      <c r="A451" s="48"/>
      <c r="B451" s="49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</row>
    <row r="452" spans="1:37">
      <c r="A452" s="48"/>
      <c r="B452" s="49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</row>
    <row r="453" spans="1:37">
      <c r="A453" s="48"/>
      <c r="B453" s="49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</row>
    <row r="454" spans="1:37">
      <c r="A454" s="48"/>
      <c r="B454" s="49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</row>
    <row r="455" spans="1:37">
      <c r="A455" s="48"/>
      <c r="B455" s="49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</row>
    <row r="456" spans="1:37">
      <c r="A456" s="48"/>
      <c r="B456" s="49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</row>
    <row r="457" spans="1:37">
      <c r="A457" s="48"/>
      <c r="B457" s="49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</row>
    <row r="458" spans="1:37">
      <c r="A458" s="48"/>
      <c r="B458" s="49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</row>
    <row r="459" spans="1:37">
      <c r="A459" s="48"/>
      <c r="B459" s="49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</row>
    <row r="460" spans="1:37">
      <c r="A460" s="48"/>
      <c r="B460" s="49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</row>
    <row r="461" spans="1:37">
      <c r="A461" s="48"/>
      <c r="B461" s="49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</row>
    <row r="462" spans="1:37">
      <c r="A462" s="48"/>
      <c r="B462" s="49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</row>
    <row r="463" spans="1:37">
      <c r="A463" s="48"/>
      <c r="B463" s="49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</row>
    <row r="464" spans="1:37">
      <c r="A464" s="48"/>
      <c r="B464" s="49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</row>
    <row r="465" spans="1:37">
      <c r="A465" s="48"/>
      <c r="B465" s="49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</row>
    <row r="466" spans="1:37">
      <c r="A466" s="48"/>
      <c r="B466" s="49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</row>
    <row r="467" spans="1:37">
      <c r="A467" s="48"/>
      <c r="B467" s="49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</row>
    <row r="468" spans="1:37">
      <c r="A468" s="48"/>
      <c r="B468" s="49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</row>
    <row r="469" spans="1:37">
      <c r="A469" s="48"/>
      <c r="B469" s="49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</row>
    <row r="470" spans="1:37">
      <c r="A470" s="48"/>
      <c r="B470" s="49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</row>
    <row r="471" spans="1:37">
      <c r="A471" s="48"/>
      <c r="B471" s="49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</row>
    <row r="472" spans="1:37">
      <c r="A472" s="48"/>
      <c r="B472" s="49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</row>
    <row r="473" spans="1:37">
      <c r="A473" s="48"/>
      <c r="B473" s="49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</row>
    <row r="474" spans="1:37">
      <c r="A474" s="48"/>
      <c r="B474" s="49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</row>
    <row r="475" spans="1:37">
      <c r="A475" s="48"/>
      <c r="B475" s="49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</row>
    <row r="476" spans="1:37">
      <c r="A476" s="48"/>
      <c r="B476" s="49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</row>
    <row r="477" spans="1:37">
      <c r="A477" s="48"/>
      <c r="B477" s="49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</row>
    <row r="478" spans="1:37">
      <c r="A478" s="48"/>
      <c r="B478" s="49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</row>
    <row r="479" spans="1:37">
      <c r="A479" s="48"/>
      <c r="B479" s="49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</row>
    <row r="480" spans="1:37">
      <c r="A480" s="48"/>
      <c r="B480" s="49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</row>
    <row r="481" spans="1:37">
      <c r="A481" s="48"/>
      <c r="B481" s="49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</row>
    <row r="482" spans="1:37">
      <c r="A482" s="48"/>
      <c r="B482" s="49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</row>
    <row r="483" spans="1:37">
      <c r="A483" s="48"/>
      <c r="B483" s="49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</row>
    <row r="484" spans="1:37">
      <c r="A484" s="48"/>
      <c r="B484" s="49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</row>
    <row r="485" spans="1:37">
      <c r="A485" s="48"/>
      <c r="B485" s="49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</row>
    <row r="486" spans="1:37">
      <c r="A486" s="48"/>
      <c r="B486" s="49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</row>
    <row r="487" spans="1:37">
      <c r="A487" s="48"/>
      <c r="B487" s="49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</row>
    <row r="488" spans="1:37">
      <c r="A488" s="48"/>
      <c r="B488" s="49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</row>
    <row r="489" spans="1:37">
      <c r="A489" s="48"/>
      <c r="B489" s="49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</row>
    <row r="490" spans="1:37">
      <c r="A490" s="48"/>
      <c r="B490" s="49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</row>
    <row r="491" spans="1:37">
      <c r="A491" s="48"/>
      <c r="B491" s="49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</row>
    <row r="492" spans="1:37">
      <c r="A492" s="48"/>
      <c r="B492" s="49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</row>
    <row r="493" spans="1:37">
      <c r="A493" s="48"/>
      <c r="B493" s="49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</row>
    <row r="494" spans="1:37">
      <c r="A494" s="48"/>
      <c r="B494" s="49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</row>
    <row r="495" spans="1:37">
      <c r="A495" s="48"/>
      <c r="B495" s="49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</row>
    <row r="496" spans="1:37">
      <c r="A496" s="48"/>
      <c r="B496" s="49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</row>
    <row r="497" spans="1:37">
      <c r="A497" s="48"/>
      <c r="B497" s="49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</row>
    <row r="498" spans="1:37">
      <c r="A498" s="48"/>
      <c r="B498" s="49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</row>
    <row r="499" spans="1:37">
      <c r="A499" s="48"/>
      <c r="B499" s="49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</row>
    <row r="500" spans="1:37">
      <c r="A500" s="48"/>
      <c r="B500" s="49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</row>
    <row r="501" spans="1:37">
      <c r="A501" s="48"/>
      <c r="B501" s="49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</row>
    <row r="502" spans="1:37">
      <c r="A502" s="48"/>
      <c r="B502" s="49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</row>
    <row r="503" spans="1:37">
      <c r="A503" s="48"/>
      <c r="B503" s="49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</row>
    <row r="504" spans="1:37">
      <c r="A504" s="48"/>
      <c r="B504" s="49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</row>
    <row r="505" spans="1:37">
      <c r="A505" s="48"/>
      <c r="B505" s="49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</row>
    <row r="506" spans="1:37">
      <c r="A506" s="48"/>
      <c r="B506" s="49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</row>
    <row r="507" spans="1:37">
      <c r="A507" s="48"/>
      <c r="B507" s="49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</row>
    <row r="508" spans="1:37">
      <c r="A508" s="48"/>
      <c r="B508" s="49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</row>
    <row r="509" spans="1:37">
      <c r="A509" s="48"/>
      <c r="B509" s="49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</row>
    <row r="510" spans="1:37">
      <c r="A510" s="48"/>
      <c r="B510" s="49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</row>
    <row r="511" spans="1:37">
      <c r="A511" s="48"/>
      <c r="B511" s="49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</row>
    <row r="512" spans="1:37">
      <c r="A512" s="48"/>
      <c r="B512" s="49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</row>
    <row r="513" spans="1:37">
      <c r="A513" s="48"/>
      <c r="B513" s="49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</row>
    <row r="514" spans="1:37">
      <c r="A514" s="48"/>
      <c r="B514" s="49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</row>
    <row r="515" spans="1:37">
      <c r="A515" s="48"/>
      <c r="B515" s="49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</row>
    <row r="516" spans="1:37">
      <c r="A516" s="48"/>
      <c r="B516" s="49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</row>
    <row r="517" spans="1:37">
      <c r="A517" s="48"/>
      <c r="B517" s="49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</row>
    <row r="518" spans="1:37">
      <c r="A518" s="48"/>
      <c r="B518" s="49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</row>
    <row r="519" spans="1:37">
      <c r="A519" s="48"/>
      <c r="B519" s="49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</row>
    <row r="520" spans="1:37">
      <c r="A520" s="48"/>
      <c r="B520" s="49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</row>
    <row r="521" spans="1:37">
      <c r="A521" s="48"/>
      <c r="B521" s="49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</row>
    <row r="522" spans="1:37">
      <c r="A522" s="48"/>
      <c r="B522" s="49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</row>
    <row r="523" spans="1:37">
      <c r="A523" s="48"/>
      <c r="B523" s="49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</row>
    <row r="524" spans="1:37">
      <c r="A524" s="48"/>
      <c r="B524" s="49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</row>
    <row r="525" spans="1:37">
      <c r="A525" s="48"/>
      <c r="B525" s="49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</row>
    <row r="526" spans="1:37">
      <c r="A526" s="48"/>
      <c r="B526" s="49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</row>
    <row r="527" spans="1:37">
      <c r="A527" s="48"/>
      <c r="B527" s="49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</row>
    <row r="528" spans="1:37">
      <c r="A528" s="48"/>
      <c r="B528" s="49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</row>
    <row r="529" spans="1:37">
      <c r="A529" s="48"/>
      <c r="B529" s="49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</row>
    <row r="530" spans="1:37">
      <c r="A530" s="48"/>
      <c r="B530" s="49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</row>
    <row r="531" spans="1:37">
      <c r="A531" s="48"/>
      <c r="B531" s="49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</row>
    <row r="532" spans="1:37">
      <c r="A532" s="48"/>
      <c r="B532" s="49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</row>
    <row r="533" spans="1:37">
      <c r="A533" s="48"/>
      <c r="B533" s="49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</row>
    <row r="534" spans="1:37">
      <c r="A534" s="48"/>
      <c r="B534" s="49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</row>
    <row r="535" spans="1:37">
      <c r="A535" s="48"/>
      <c r="B535" s="49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</row>
    <row r="536" spans="1:37">
      <c r="A536" s="48"/>
      <c r="B536" s="49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</row>
    <row r="537" spans="1:37">
      <c r="A537" s="48"/>
      <c r="B537" s="49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</row>
    <row r="538" spans="1:37">
      <c r="A538" s="48"/>
      <c r="B538" s="49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</row>
    <row r="539" spans="1:37">
      <c r="A539" s="48"/>
      <c r="B539" s="49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</row>
    <row r="540" spans="1:37">
      <c r="A540" s="48"/>
      <c r="B540" s="49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</row>
    <row r="541" spans="1:37">
      <c r="A541" s="48"/>
      <c r="B541" s="49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</row>
    <row r="542" spans="1:37">
      <c r="A542" s="48"/>
      <c r="B542" s="49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</row>
    <row r="543" spans="1:37">
      <c r="A543" s="48"/>
      <c r="B543" s="49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</row>
    <row r="544" spans="1:37">
      <c r="A544" s="48"/>
      <c r="B544" s="49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</row>
    <row r="545" spans="1:37">
      <c r="A545" s="48"/>
      <c r="B545" s="49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</row>
    <row r="546" spans="1:37">
      <c r="A546" s="48"/>
      <c r="B546" s="49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</row>
    <row r="547" spans="1:37">
      <c r="A547" s="48"/>
      <c r="B547" s="49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</row>
    <row r="548" spans="1:37">
      <c r="A548" s="48"/>
      <c r="B548" s="49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</row>
    <row r="549" spans="1:37">
      <c r="A549" s="48"/>
      <c r="B549" s="49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</row>
    <row r="550" spans="1:37">
      <c r="A550" s="48"/>
      <c r="B550" s="49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</row>
    <row r="551" spans="1:37">
      <c r="A551" s="48"/>
      <c r="B551" s="49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</row>
    <row r="552" spans="1:37">
      <c r="A552" s="48"/>
      <c r="B552" s="49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</row>
    <row r="553" spans="1:37">
      <c r="A553" s="48"/>
      <c r="B553" s="49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</row>
    <row r="554" spans="1:37">
      <c r="A554" s="48"/>
      <c r="B554" s="49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</row>
    <row r="555" spans="1:37">
      <c r="A555" s="48"/>
      <c r="B555" s="49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</row>
    <row r="556" spans="1:37">
      <c r="A556" s="48"/>
      <c r="B556" s="49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</row>
    <row r="557" spans="1:37">
      <c r="A557" s="48"/>
      <c r="B557" s="49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</row>
    <row r="558" spans="1:37">
      <c r="A558" s="48"/>
      <c r="B558" s="49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</row>
    <row r="559" spans="1:37">
      <c r="A559" s="48"/>
      <c r="B559" s="49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</row>
    <row r="560" spans="1:37">
      <c r="A560" s="48"/>
      <c r="B560" s="49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</row>
    <row r="561" spans="1:37">
      <c r="A561" s="48"/>
      <c r="B561" s="49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</row>
    <row r="562" spans="1:37">
      <c r="A562" s="48"/>
      <c r="B562" s="49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</row>
    <row r="563" spans="1:37">
      <c r="A563" s="48"/>
      <c r="B563" s="49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</row>
    <row r="564" spans="1:37">
      <c r="A564" s="48"/>
      <c r="B564" s="49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</row>
    <row r="565" spans="1:37">
      <c r="A565" s="48"/>
      <c r="B565" s="49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</row>
    <row r="566" spans="1:37">
      <c r="A566" s="48"/>
      <c r="B566" s="49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</row>
    <row r="567" spans="1:37">
      <c r="A567" s="48"/>
      <c r="B567" s="49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</row>
    <row r="568" spans="1:37">
      <c r="A568" s="48"/>
      <c r="B568" s="49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</row>
    <row r="569" spans="1:37">
      <c r="A569" s="48"/>
      <c r="B569" s="49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</row>
    <row r="570" spans="1:37">
      <c r="A570" s="48"/>
      <c r="B570" s="49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</row>
    <row r="571" spans="1:37">
      <c r="A571" s="48"/>
      <c r="B571" s="49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</row>
    <row r="572" spans="1:37">
      <c r="A572" s="48"/>
      <c r="B572" s="49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</row>
    <row r="573" spans="1:37">
      <c r="A573" s="48"/>
      <c r="B573" s="49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</row>
    <row r="574" spans="1:37">
      <c r="A574" s="48"/>
      <c r="B574" s="49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</row>
    <row r="575" spans="1:37">
      <c r="A575" s="48"/>
      <c r="B575" s="49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</row>
    <row r="576" spans="1:37">
      <c r="A576" s="48"/>
      <c r="B576" s="49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</row>
    <row r="577" spans="1:37">
      <c r="A577" s="48"/>
      <c r="B577" s="49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</row>
    <row r="578" spans="1:37">
      <c r="A578" s="48"/>
      <c r="B578" s="49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</row>
    <row r="579" spans="1:37">
      <c r="A579" s="48"/>
      <c r="B579" s="49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</row>
    <row r="580" spans="1:37">
      <c r="A580" s="48"/>
      <c r="B580" s="49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</row>
    <row r="581" spans="1:37">
      <c r="A581" s="48"/>
      <c r="B581" s="49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</row>
    <row r="582" spans="1:37">
      <c r="A582" s="48"/>
      <c r="B582" s="49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</row>
    <row r="583" spans="1:37">
      <c r="A583" s="48"/>
      <c r="B583" s="49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</row>
    <row r="584" spans="1:37">
      <c r="A584" s="48"/>
      <c r="B584" s="49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</row>
    <row r="585" spans="1:37">
      <c r="A585" s="48"/>
      <c r="B585" s="49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</row>
    <row r="586" spans="1:37">
      <c r="A586" s="48"/>
      <c r="B586" s="49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</row>
    <row r="587" spans="1:37">
      <c r="A587" s="48"/>
      <c r="B587" s="49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</row>
    <row r="588" spans="1:37">
      <c r="A588" s="48"/>
      <c r="B588" s="49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</row>
    <row r="589" spans="1:37">
      <c r="A589" s="48"/>
      <c r="B589" s="49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</row>
    <row r="590" spans="1:37">
      <c r="A590" s="48"/>
      <c r="B590" s="49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</row>
    <row r="591" spans="1:37">
      <c r="A591" s="48"/>
      <c r="B591" s="49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</row>
    <row r="592" spans="1:37">
      <c r="A592" s="48"/>
      <c r="B592" s="49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</row>
    <row r="593" spans="1:37">
      <c r="A593" s="48"/>
      <c r="B593" s="49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</row>
    <row r="594" spans="1:37">
      <c r="A594" s="48"/>
      <c r="B594" s="49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</row>
    <row r="595" spans="1:37">
      <c r="A595" s="48"/>
      <c r="B595" s="49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</row>
    <row r="596" spans="1:37">
      <c r="A596" s="48"/>
      <c r="B596" s="49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</row>
    <row r="597" spans="1:37">
      <c r="A597" s="48"/>
      <c r="B597" s="49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</row>
    <row r="598" spans="1:37">
      <c r="A598" s="48"/>
      <c r="B598" s="49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</row>
    <row r="599" spans="1:37">
      <c r="A599" s="48"/>
      <c r="B599" s="49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</row>
    <row r="600" spans="1:37">
      <c r="A600" s="48"/>
      <c r="B600" s="49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</row>
    <row r="601" spans="1:37">
      <c r="A601" s="48"/>
      <c r="B601" s="49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</row>
    <row r="602" spans="1:37">
      <c r="A602" s="48"/>
      <c r="B602" s="49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</row>
    <row r="603" spans="1:37">
      <c r="A603" s="48"/>
      <c r="B603" s="49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</row>
    <row r="604" spans="1:37">
      <c r="A604" s="48"/>
      <c r="B604" s="49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</row>
    <row r="605" spans="1:37">
      <c r="A605" s="48"/>
      <c r="B605" s="49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</row>
    <row r="606" spans="1:37">
      <c r="A606" s="48"/>
      <c r="B606" s="49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</row>
    <row r="607" spans="1:37">
      <c r="A607" s="48"/>
      <c r="B607" s="49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</row>
    <row r="608" spans="1:37">
      <c r="A608" s="48"/>
      <c r="B608" s="49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</row>
    <row r="609" spans="1:37">
      <c r="A609" s="48"/>
      <c r="B609" s="49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</row>
    <row r="610" spans="1:37">
      <c r="A610" s="48"/>
      <c r="B610" s="49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</row>
    <row r="611" spans="1:37">
      <c r="A611" s="48"/>
      <c r="B611" s="49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</row>
    <row r="612" spans="1:37">
      <c r="A612" s="48"/>
      <c r="B612" s="49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</row>
    <row r="613" spans="1:37">
      <c r="A613" s="48"/>
      <c r="B613" s="49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</row>
    <row r="614" spans="1:37">
      <c r="A614" s="48"/>
      <c r="B614" s="49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</row>
    <row r="615" spans="1:37">
      <c r="A615" s="48"/>
      <c r="B615" s="49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</row>
    <row r="616" spans="1:37">
      <c r="A616" s="48"/>
      <c r="B616" s="49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</row>
    <row r="617" spans="1:37">
      <c r="A617" s="48"/>
      <c r="B617" s="49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</row>
    <row r="618" spans="1:37">
      <c r="A618" s="48"/>
      <c r="B618" s="49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</row>
    <row r="619" spans="1:37">
      <c r="A619" s="48"/>
      <c r="B619" s="49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</row>
    <row r="620" spans="1:37">
      <c r="A620" s="48"/>
      <c r="B620" s="49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</row>
    <row r="621" spans="1:37">
      <c r="A621" s="48"/>
      <c r="B621" s="49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</row>
    <row r="622" spans="1:37">
      <c r="A622" s="48"/>
      <c r="B622" s="49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</row>
    <row r="623" spans="1:37">
      <c r="A623" s="48"/>
      <c r="B623" s="49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</row>
    <row r="624" spans="1:37">
      <c r="A624" s="48"/>
      <c r="B624" s="49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</row>
    <row r="625" spans="1:37">
      <c r="A625" s="48"/>
      <c r="B625" s="49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</row>
    <row r="626" spans="1:37">
      <c r="A626" s="48"/>
      <c r="B626" s="49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</row>
    <row r="627" spans="1:37">
      <c r="A627" s="48"/>
      <c r="B627" s="49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</row>
    <row r="628" spans="1:37">
      <c r="A628" s="48"/>
      <c r="B628" s="49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</row>
    <row r="629" spans="1:37">
      <c r="A629" s="48"/>
      <c r="B629" s="49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</row>
    <row r="630" spans="1:37">
      <c r="A630" s="48"/>
      <c r="B630" s="49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</row>
    <row r="631" spans="1:37">
      <c r="A631" s="48"/>
      <c r="B631" s="49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</row>
    <row r="632" spans="1:37">
      <c r="A632" s="48"/>
      <c r="B632" s="49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</row>
    <row r="633" spans="1:37">
      <c r="A633" s="48"/>
      <c r="B633" s="49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</row>
    <row r="634" spans="1:37">
      <c r="A634" s="48"/>
      <c r="B634" s="49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</row>
    <row r="635" spans="1:37">
      <c r="A635" s="48"/>
      <c r="B635" s="49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</row>
    <row r="636" spans="1:37">
      <c r="A636" s="48"/>
      <c r="B636" s="49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</row>
    <row r="637" spans="1:37">
      <c r="A637" s="48"/>
      <c r="B637" s="49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</row>
    <row r="638" spans="1:37">
      <c r="A638" s="48"/>
      <c r="B638" s="49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</row>
    <row r="639" spans="1:37">
      <c r="A639" s="48"/>
      <c r="B639" s="49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</row>
    <row r="640" spans="1:37">
      <c r="A640" s="48"/>
      <c r="B640" s="49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</row>
    <row r="641" spans="1:37">
      <c r="A641" s="48"/>
      <c r="B641" s="49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</row>
    <row r="642" spans="1:37">
      <c r="A642" s="48"/>
      <c r="B642" s="49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</row>
    <row r="643" spans="1:37">
      <c r="A643" s="48"/>
      <c r="B643" s="49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</row>
    <row r="644" spans="1:37">
      <c r="A644" s="48"/>
      <c r="B644" s="49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</row>
    <row r="645" spans="1:37">
      <c r="A645" s="48"/>
      <c r="B645" s="49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</row>
    <row r="646" spans="1:37">
      <c r="A646" s="48"/>
      <c r="B646" s="49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</row>
    <row r="647" spans="1:37">
      <c r="A647" s="48"/>
      <c r="B647" s="49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</row>
    <row r="648" spans="1:37">
      <c r="A648" s="48"/>
      <c r="B648" s="49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</row>
    <row r="649" spans="1:37">
      <c r="A649" s="48"/>
      <c r="B649" s="49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</row>
    <row r="650" spans="1:37">
      <c r="A650" s="48"/>
      <c r="B650" s="49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</row>
    <row r="651" spans="1:37">
      <c r="A651" s="48"/>
      <c r="B651" s="49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</row>
    <row r="652" spans="1:37">
      <c r="A652" s="48"/>
      <c r="B652" s="49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</row>
    <row r="653" spans="1:37">
      <c r="A653" s="48"/>
      <c r="B653" s="49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</row>
    <row r="654" spans="1:37">
      <c r="A654" s="48"/>
      <c r="B654" s="49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</row>
    <row r="655" spans="1:37">
      <c r="A655" s="48"/>
      <c r="B655" s="49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</row>
    <row r="656" spans="1:37">
      <c r="A656" s="48"/>
      <c r="B656" s="49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</row>
    <row r="657" spans="1:37">
      <c r="A657" s="48"/>
      <c r="B657" s="49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</row>
    <row r="658" spans="1:37">
      <c r="A658" s="48"/>
      <c r="B658" s="49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</row>
    <row r="659" spans="1:37">
      <c r="A659" s="48"/>
      <c r="B659" s="49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</row>
    <row r="660" spans="1:37">
      <c r="A660" s="48"/>
      <c r="B660" s="49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</row>
    <row r="661" spans="1:37">
      <c r="A661" s="48"/>
      <c r="B661" s="49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</row>
    <row r="662" spans="1:37">
      <c r="A662" s="48"/>
      <c r="B662" s="49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</row>
    <row r="663" spans="1:37">
      <c r="A663" s="48"/>
      <c r="B663" s="49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</row>
    <row r="664" spans="1:37">
      <c r="A664" s="48"/>
      <c r="B664" s="49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</row>
    <row r="665" spans="1:37">
      <c r="A665" s="48"/>
      <c r="B665" s="49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</row>
    <row r="666" spans="1:37">
      <c r="A666" s="48"/>
      <c r="B666" s="49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</row>
    <row r="667" spans="1:37">
      <c r="A667" s="48"/>
      <c r="B667" s="49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</row>
    <row r="668" spans="1:37">
      <c r="A668" s="48"/>
      <c r="B668" s="49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</row>
    <row r="669" spans="1:37">
      <c r="A669" s="48"/>
      <c r="B669" s="49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</row>
    <row r="670" spans="1:37">
      <c r="A670" s="48"/>
      <c r="B670" s="49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</row>
    <row r="671" spans="1:37">
      <c r="A671" s="48"/>
      <c r="B671" s="49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</row>
    <row r="672" spans="1:37">
      <c r="A672" s="48"/>
      <c r="B672" s="49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</row>
    <row r="673" spans="1:37">
      <c r="A673" s="48"/>
      <c r="B673" s="49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</row>
    <row r="674" spans="1:37">
      <c r="A674" s="48"/>
      <c r="B674" s="49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</row>
    <row r="675" spans="1:37">
      <c r="A675" s="48"/>
      <c r="B675" s="49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</row>
    <row r="676" spans="1:37">
      <c r="A676" s="48"/>
      <c r="B676" s="49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</row>
    <row r="677" spans="1:37">
      <c r="A677" s="48"/>
      <c r="B677" s="49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</row>
    <row r="678" spans="1:37">
      <c r="A678" s="48"/>
      <c r="B678" s="49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</row>
    <row r="679" spans="1:37">
      <c r="A679" s="48"/>
      <c r="B679" s="49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</row>
    <row r="680" spans="1:37">
      <c r="A680" s="48"/>
      <c r="B680" s="49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</row>
    <row r="681" spans="1:37">
      <c r="A681" s="48"/>
      <c r="B681" s="49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</row>
    <row r="682" spans="1:37">
      <c r="A682" s="48"/>
      <c r="B682" s="49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</row>
    <row r="683" spans="1:37">
      <c r="A683" s="48"/>
      <c r="B683" s="49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</row>
    <row r="684" spans="1:37">
      <c r="A684" s="48"/>
      <c r="B684" s="49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</row>
    <row r="685" spans="1:37">
      <c r="A685" s="48"/>
      <c r="B685" s="49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</row>
    <row r="686" spans="1:37">
      <c r="A686" s="48"/>
      <c r="B686" s="49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</row>
    <row r="687" spans="1:37">
      <c r="A687" s="48"/>
      <c r="B687" s="49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</row>
    <row r="688" spans="1:37">
      <c r="A688" s="48"/>
      <c r="B688" s="49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</row>
    <row r="689" spans="1:37">
      <c r="A689" s="48"/>
      <c r="B689" s="49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</row>
    <row r="690" spans="1:37">
      <c r="A690" s="48"/>
      <c r="B690" s="49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</row>
    <row r="691" spans="1:37">
      <c r="A691" s="48"/>
      <c r="B691" s="49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</row>
    <row r="692" spans="1:37">
      <c r="A692" s="48"/>
      <c r="B692" s="49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</row>
    <row r="693" spans="1:37">
      <c r="A693" s="48"/>
      <c r="B693" s="49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</row>
    <row r="694" spans="1:37">
      <c r="A694" s="48"/>
      <c r="B694" s="49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</row>
    <row r="695" spans="1:37">
      <c r="A695" s="48"/>
      <c r="B695" s="49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</row>
    <row r="696" spans="1:37">
      <c r="A696" s="48"/>
      <c r="B696" s="49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</row>
    <row r="697" spans="1:37">
      <c r="A697" s="48"/>
      <c r="B697" s="49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</row>
    <row r="698" spans="1:37">
      <c r="A698" s="48"/>
      <c r="B698" s="49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</row>
    <row r="699" spans="1:37">
      <c r="A699" s="48"/>
      <c r="B699" s="49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</row>
    <row r="700" spans="1:37">
      <c r="A700" s="48"/>
      <c r="B700" s="49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</row>
    <row r="701" spans="1:37">
      <c r="A701" s="48"/>
      <c r="B701" s="49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</row>
    <row r="702" spans="1:37">
      <c r="A702" s="48"/>
      <c r="B702" s="49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</row>
    <row r="703" spans="1:37">
      <c r="A703" s="48"/>
      <c r="B703" s="49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</row>
    <row r="704" spans="1:37">
      <c r="A704" s="48"/>
      <c r="B704" s="49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</row>
    <row r="705" spans="1:37">
      <c r="A705" s="48"/>
      <c r="B705" s="49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</row>
    <row r="706" spans="1:37">
      <c r="A706" s="48"/>
      <c r="B706" s="49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</row>
    <row r="707" spans="1:37">
      <c r="A707" s="48"/>
      <c r="B707" s="49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</row>
    <row r="708" spans="1:37">
      <c r="A708" s="48"/>
      <c r="B708" s="49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</row>
    <row r="709" spans="1:37">
      <c r="A709" s="48"/>
      <c r="B709" s="49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</row>
    <row r="710" spans="1:37">
      <c r="A710" s="48"/>
      <c r="B710" s="49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</row>
    <row r="711" spans="1:37">
      <c r="A711" s="48"/>
      <c r="B711" s="49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</row>
    <row r="712" spans="1:37">
      <c r="A712" s="48"/>
      <c r="B712" s="49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</row>
    <row r="713" spans="1:37">
      <c r="A713" s="48"/>
      <c r="B713" s="49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</row>
    <row r="714" spans="1:37">
      <c r="A714" s="48"/>
      <c r="B714" s="49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</row>
    <row r="715" spans="1:37">
      <c r="A715" s="48"/>
      <c r="B715" s="49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</row>
    <row r="716" spans="1:37">
      <c r="A716" s="48"/>
      <c r="B716" s="49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</row>
    <row r="717" spans="1:37">
      <c r="A717" s="48"/>
      <c r="B717" s="49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</row>
    <row r="718" spans="1:37">
      <c r="A718" s="48"/>
      <c r="B718" s="49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</row>
    <row r="719" spans="1:37">
      <c r="A719" s="48"/>
      <c r="B719" s="49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</row>
    <row r="720" spans="1:37">
      <c r="A720" s="48"/>
      <c r="B720" s="49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</row>
    <row r="721" spans="1:37">
      <c r="A721" s="48"/>
      <c r="B721" s="49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</row>
    <row r="722" spans="1:37">
      <c r="A722" s="48"/>
      <c r="B722" s="49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</row>
    <row r="723" spans="1:37">
      <c r="A723" s="48"/>
      <c r="B723" s="49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</row>
    <row r="724" spans="1:37">
      <c r="A724" s="48"/>
      <c r="B724" s="49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</row>
    <row r="725" spans="1:37">
      <c r="A725" s="48"/>
      <c r="B725" s="49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</row>
    <row r="726" spans="1:37">
      <c r="A726" s="48"/>
      <c r="B726" s="49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</row>
    <row r="727" spans="1:37">
      <c r="A727" s="48"/>
      <c r="B727" s="49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</row>
    <row r="728" spans="1:37">
      <c r="A728" s="48"/>
      <c r="B728" s="49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</row>
    <row r="729" spans="1:37">
      <c r="A729" s="48"/>
      <c r="B729" s="49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</row>
    <row r="730" spans="1:37">
      <c r="A730" s="48"/>
      <c r="B730" s="49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</row>
    <row r="731" spans="1:37">
      <c r="A731" s="48"/>
      <c r="B731" s="49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</row>
    <row r="732" spans="1:37">
      <c r="A732" s="48"/>
      <c r="B732" s="49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</row>
    <row r="733" spans="1:37">
      <c r="A733" s="48"/>
      <c r="B733" s="49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</row>
    <row r="734" spans="1:37">
      <c r="A734" s="48"/>
      <c r="B734" s="49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</row>
    <row r="735" spans="1:37">
      <c r="A735" s="48"/>
      <c r="B735" s="49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</row>
    <row r="736" spans="1:37">
      <c r="A736" s="48"/>
      <c r="B736" s="49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</row>
    <row r="737" spans="1:37">
      <c r="A737" s="48"/>
      <c r="B737" s="49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</row>
    <row r="738" spans="1:37">
      <c r="A738" s="48"/>
      <c r="B738" s="49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</row>
    <row r="739" spans="1:37">
      <c r="A739" s="48"/>
      <c r="B739" s="49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</row>
    <row r="740" spans="1:37">
      <c r="A740" s="48"/>
      <c r="B740" s="49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</row>
    <row r="741" spans="1:37">
      <c r="A741" s="48"/>
      <c r="B741" s="49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</row>
    <row r="742" spans="1:37">
      <c r="A742" s="48"/>
      <c r="B742" s="49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</row>
    <row r="743" spans="1:37">
      <c r="A743" s="48"/>
      <c r="B743" s="49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</row>
    <row r="744" spans="1:37">
      <c r="A744" s="48"/>
      <c r="B744" s="49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</row>
    <row r="745" spans="1:37">
      <c r="A745" s="48"/>
      <c r="B745" s="49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</row>
    <row r="746" spans="1:37">
      <c r="A746" s="48"/>
      <c r="B746" s="49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</row>
    <row r="747" spans="1:37">
      <c r="A747" s="48"/>
      <c r="B747" s="49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</row>
    <row r="748" spans="1:37">
      <c r="A748" s="48"/>
      <c r="B748" s="49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</row>
    <row r="749" spans="1:37">
      <c r="A749" s="48"/>
      <c r="B749" s="49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</row>
    <row r="750" spans="1:37">
      <c r="A750" s="48"/>
      <c r="B750" s="49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</row>
    <row r="751" spans="1:37">
      <c r="A751" s="48"/>
      <c r="B751" s="49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</row>
    <row r="752" spans="1:37">
      <c r="A752" s="48"/>
      <c r="B752" s="49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</row>
    <row r="753" spans="1:37">
      <c r="A753" s="48"/>
      <c r="B753" s="49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</row>
    <row r="754" spans="1:37">
      <c r="A754" s="48"/>
      <c r="B754" s="49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</row>
    <row r="755" spans="1:37">
      <c r="A755" s="48"/>
      <c r="B755" s="49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</row>
    <row r="756" spans="1:37">
      <c r="A756" s="48"/>
      <c r="B756" s="49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</row>
    <row r="757" spans="1:37">
      <c r="A757" s="48"/>
      <c r="B757" s="49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</row>
    <row r="758" spans="1:37">
      <c r="A758" s="48"/>
      <c r="B758" s="49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</row>
    <row r="759" spans="1:37">
      <c r="A759" s="48"/>
      <c r="B759" s="49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</row>
    <row r="760" spans="1:37">
      <c r="A760" s="48"/>
      <c r="B760" s="49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</row>
    <row r="761" spans="1:37">
      <c r="A761" s="48"/>
      <c r="B761" s="49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</row>
    <row r="762" spans="1:37">
      <c r="A762" s="48"/>
      <c r="B762" s="49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</row>
    <row r="763" spans="1:37">
      <c r="A763" s="48"/>
      <c r="B763" s="49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</row>
    <row r="764" spans="1:37">
      <c r="A764" s="48"/>
      <c r="B764" s="49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</row>
    <row r="765" spans="1:37">
      <c r="A765" s="48"/>
      <c r="B765" s="49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</row>
    <row r="766" spans="1:37">
      <c r="A766" s="48"/>
      <c r="B766" s="49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</row>
    <row r="767" spans="1:37">
      <c r="A767" s="48"/>
      <c r="B767" s="49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</row>
    <row r="768" spans="1:37">
      <c r="A768" s="48"/>
      <c r="B768" s="49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</row>
    <row r="769" spans="1:37">
      <c r="A769" s="48"/>
      <c r="B769" s="49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</row>
    <row r="770" spans="1:37">
      <c r="A770" s="48"/>
      <c r="B770" s="49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</row>
    <row r="771" spans="1:37">
      <c r="A771" s="48"/>
      <c r="B771" s="49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</row>
    <row r="772" spans="1:37">
      <c r="A772" s="48"/>
      <c r="B772" s="49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</row>
    <row r="773" spans="1:37">
      <c r="A773" s="48"/>
      <c r="B773" s="49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</row>
    <row r="774" spans="1:37">
      <c r="A774" s="48"/>
      <c r="B774" s="49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</row>
    <row r="775" spans="1:37">
      <c r="A775" s="48"/>
      <c r="B775" s="49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</row>
    <row r="776" spans="1:37">
      <c r="A776" s="48"/>
      <c r="B776" s="49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</row>
    <row r="777" spans="1:37">
      <c r="A777" s="48"/>
      <c r="B777" s="49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</row>
    <row r="778" spans="1:37">
      <c r="A778" s="48"/>
      <c r="B778" s="49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</row>
    <row r="779" spans="1:37">
      <c r="A779" s="48"/>
      <c r="B779" s="49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</row>
    <row r="780" spans="1:37">
      <c r="A780" s="48"/>
      <c r="B780" s="49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</row>
    <row r="781" spans="1:37">
      <c r="A781" s="48"/>
      <c r="B781" s="49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</row>
    <row r="782" spans="1:37">
      <c r="A782" s="48"/>
      <c r="B782" s="49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</row>
    <row r="783" spans="1:37">
      <c r="A783" s="48"/>
      <c r="B783" s="49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</row>
    <row r="784" spans="1:37">
      <c r="A784" s="48"/>
      <c r="B784" s="49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</row>
    <row r="785" spans="1:37">
      <c r="A785" s="48"/>
      <c r="B785" s="49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</row>
    <row r="786" spans="1:37">
      <c r="A786" s="48"/>
      <c r="B786" s="49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</row>
    <row r="787" spans="1:37">
      <c r="A787" s="48"/>
      <c r="B787" s="49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</row>
    <row r="788" spans="1:37">
      <c r="A788" s="48"/>
      <c r="B788" s="49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</row>
    <row r="789" spans="1:37">
      <c r="A789" s="48"/>
      <c r="B789" s="49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</row>
    <row r="790" spans="1:37">
      <c r="A790" s="48"/>
      <c r="B790" s="49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</row>
    <row r="791" spans="1:37">
      <c r="A791" s="48"/>
      <c r="B791" s="49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</row>
    <row r="792" spans="1:37">
      <c r="A792" s="48"/>
      <c r="B792" s="49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</row>
    <row r="793" spans="1:37">
      <c r="A793" s="48"/>
      <c r="B793" s="49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</row>
    <row r="794" spans="1:37">
      <c r="A794" s="48"/>
      <c r="B794" s="49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</row>
    <row r="795" spans="1:37">
      <c r="A795" s="48"/>
      <c r="B795" s="49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</row>
    <row r="796" spans="1:37">
      <c r="A796" s="48"/>
      <c r="B796" s="49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</row>
    <row r="797" spans="1:37">
      <c r="A797" s="48"/>
      <c r="B797" s="49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</row>
    <row r="798" spans="1:37">
      <c r="A798" s="48"/>
      <c r="B798" s="49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</row>
    <row r="799" spans="1:37">
      <c r="A799" s="48"/>
      <c r="B799" s="49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</row>
    <row r="800" spans="1:37">
      <c r="A800" s="48"/>
      <c r="B800" s="49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</row>
    <row r="801" spans="1:37">
      <c r="A801" s="48"/>
      <c r="B801" s="49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</row>
    <row r="802" spans="1:37">
      <c r="A802" s="48"/>
      <c r="B802" s="49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</row>
    <row r="803" spans="1:37">
      <c r="A803" s="48"/>
      <c r="B803" s="49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</row>
    <row r="804" spans="1:37">
      <c r="A804" s="48"/>
      <c r="B804" s="49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</row>
    <row r="805" spans="1:37">
      <c r="A805" s="48"/>
      <c r="B805" s="49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</row>
    <row r="806" spans="1:37">
      <c r="A806" s="48"/>
      <c r="B806" s="49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</row>
    <row r="807" spans="1:37">
      <c r="A807" s="48"/>
      <c r="B807" s="49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</row>
    <row r="808" spans="1:37">
      <c r="A808" s="48"/>
      <c r="B808" s="49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</row>
    <row r="809" spans="1:37">
      <c r="A809" s="48"/>
      <c r="B809" s="49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</row>
    <row r="810" spans="1:37">
      <c r="A810" s="48"/>
      <c r="B810" s="49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</row>
    <row r="811" spans="1:37">
      <c r="A811" s="48"/>
      <c r="B811" s="49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</row>
    <row r="812" spans="1:37">
      <c r="A812" s="48"/>
      <c r="B812" s="49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</row>
    <row r="813" spans="1:37">
      <c r="A813" s="48"/>
      <c r="B813" s="49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</row>
    <row r="814" spans="1:37">
      <c r="A814" s="48"/>
      <c r="B814" s="49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</row>
    <row r="815" spans="1:37">
      <c r="A815" s="48"/>
      <c r="B815" s="49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</row>
    <row r="816" spans="1:37">
      <c r="A816" s="48"/>
      <c r="B816" s="49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</row>
    <row r="817" spans="1:37">
      <c r="A817" s="48"/>
      <c r="B817" s="49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</row>
    <row r="818" spans="1:37">
      <c r="A818" s="48"/>
      <c r="B818" s="49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</row>
    <row r="819" spans="1:37">
      <c r="A819" s="48"/>
      <c r="B819" s="49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</row>
    <row r="820" spans="1:37">
      <c r="A820" s="48"/>
      <c r="B820" s="49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</row>
    <row r="821" spans="1:37">
      <c r="A821" s="48"/>
      <c r="B821" s="49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</row>
    <row r="822" spans="1:37">
      <c r="A822" s="48"/>
      <c r="B822" s="49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</row>
    <row r="823" spans="1:37">
      <c r="A823" s="48"/>
      <c r="B823" s="49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</row>
    <row r="824" spans="1:37">
      <c r="A824" s="48"/>
      <c r="B824" s="49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</row>
    <row r="825" spans="1:37">
      <c r="A825" s="48"/>
      <c r="B825" s="49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</row>
    <row r="826" spans="1:37">
      <c r="A826" s="48"/>
      <c r="B826" s="49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</row>
    <row r="827" spans="1:37">
      <c r="A827" s="48"/>
      <c r="B827" s="49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</row>
    <row r="828" spans="1:37">
      <c r="A828" s="48"/>
      <c r="B828" s="49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</row>
    <row r="829" spans="1:37">
      <c r="A829" s="48"/>
      <c r="B829" s="49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</row>
    <row r="830" spans="1:37">
      <c r="A830" s="48"/>
      <c r="B830" s="49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</row>
    <row r="831" spans="1:37">
      <c r="A831" s="48"/>
      <c r="B831" s="49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</row>
    <row r="832" spans="1:37">
      <c r="A832" s="48"/>
      <c r="B832" s="49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</row>
    <row r="833" spans="1:37">
      <c r="A833" s="48"/>
      <c r="B833" s="49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</row>
    <row r="834" spans="1:37">
      <c r="A834" s="48"/>
      <c r="B834" s="49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</row>
    <row r="835" spans="1:37">
      <c r="A835" s="48"/>
      <c r="B835" s="49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</row>
    <row r="836" spans="1:37">
      <c r="A836" s="48"/>
      <c r="B836" s="49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</row>
    <row r="837" spans="1:37">
      <c r="A837" s="48"/>
      <c r="B837" s="49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</row>
    <row r="838" spans="1:37">
      <c r="A838" s="48"/>
      <c r="B838" s="49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</row>
    <row r="839" spans="1:37">
      <c r="A839" s="48"/>
      <c r="B839" s="49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</row>
    <row r="840" spans="1:37">
      <c r="A840" s="48"/>
      <c r="B840" s="49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</row>
    <row r="841" spans="1:37">
      <c r="A841" s="48"/>
      <c r="B841" s="49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</row>
    <row r="842" spans="1:37">
      <c r="A842" s="48"/>
      <c r="B842" s="49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</row>
    <row r="843" spans="1:37">
      <c r="A843" s="48"/>
      <c r="B843" s="49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</row>
    <row r="844" spans="1:37">
      <c r="A844" s="48"/>
      <c r="B844" s="49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</row>
    <row r="845" spans="1:37">
      <c r="A845" s="48"/>
      <c r="B845" s="49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</row>
    <row r="846" spans="1:37">
      <c r="A846" s="48"/>
      <c r="B846" s="49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</row>
    <row r="847" spans="1:37">
      <c r="A847" s="48"/>
      <c r="B847" s="49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</row>
    <row r="848" spans="1:37">
      <c r="A848" s="48"/>
      <c r="B848" s="49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</row>
    <row r="849" spans="1:37">
      <c r="A849" s="48"/>
      <c r="B849" s="49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</row>
    <row r="850" spans="1:37">
      <c r="A850" s="48"/>
      <c r="B850" s="49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</row>
    <row r="851" spans="1:37">
      <c r="A851" s="48"/>
      <c r="B851" s="49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</row>
    <row r="852" spans="1:37">
      <c r="A852" s="48"/>
      <c r="B852" s="49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</row>
    <row r="853" spans="1:37">
      <c r="A853" s="48"/>
      <c r="B853" s="49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</row>
    <row r="854" spans="1:37">
      <c r="A854" s="48"/>
      <c r="B854" s="49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</row>
    <row r="855" spans="1:37">
      <c r="A855" s="48"/>
      <c r="B855" s="49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</row>
    <row r="856" spans="1:37">
      <c r="A856" s="48"/>
      <c r="B856" s="49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</row>
    <row r="857" spans="1:37">
      <c r="A857" s="48"/>
      <c r="B857" s="49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</row>
    <row r="858" spans="1:37">
      <c r="A858" s="48"/>
      <c r="B858" s="49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</row>
    <row r="859" spans="1:37">
      <c r="A859" s="48"/>
      <c r="B859" s="49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</row>
    <row r="860" spans="1:37">
      <c r="A860" s="48"/>
      <c r="B860" s="49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</row>
    <row r="861" spans="1:37">
      <c r="A861" s="48"/>
      <c r="B861" s="49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</row>
    <row r="862" spans="1:37">
      <c r="A862" s="48"/>
      <c r="B862" s="49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</row>
    <row r="863" spans="1:37">
      <c r="A863" s="48"/>
      <c r="B863" s="49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</row>
    <row r="864" spans="1:37">
      <c r="A864" s="48"/>
      <c r="B864" s="49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</row>
    <row r="865" spans="1:37">
      <c r="A865" s="48"/>
      <c r="B865" s="49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</row>
    <row r="866" spans="1:37">
      <c r="A866" s="48"/>
      <c r="B866" s="49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</row>
    <row r="867" spans="1:37">
      <c r="A867" s="48"/>
      <c r="B867" s="49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</row>
    <row r="868" spans="1:37">
      <c r="A868" s="48"/>
      <c r="B868" s="49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</row>
    <row r="869" spans="1:37">
      <c r="A869" s="48"/>
      <c r="B869" s="49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</row>
    <row r="870" spans="1:37">
      <c r="A870" s="48"/>
      <c r="B870" s="49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</row>
    <row r="871" spans="1:37">
      <c r="A871" s="48"/>
      <c r="B871" s="49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</row>
    <row r="872" spans="1:37">
      <c r="A872" s="48"/>
      <c r="B872" s="49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</row>
    <row r="873" spans="1:37">
      <c r="A873" s="48"/>
      <c r="B873" s="49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</row>
    <row r="874" spans="1:37">
      <c r="A874" s="48"/>
      <c r="B874" s="49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</row>
    <row r="875" spans="1:37">
      <c r="A875" s="48"/>
      <c r="B875" s="49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</row>
    <row r="876" spans="1:37">
      <c r="A876" s="48"/>
      <c r="B876" s="49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</row>
    <row r="877" spans="1:37">
      <c r="A877" s="48"/>
      <c r="B877" s="49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</row>
    <row r="878" spans="1:37">
      <c r="A878" s="48"/>
      <c r="B878" s="49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</row>
    <row r="879" spans="1:37">
      <c r="A879" s="48"/>
      <c r="B879" s="49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</row>
    <row r="880" spans="1:37">
      <c r="A880" s="48"/>
      <c r="B880" s="49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</row>
    <row r="881" spans="1:37">
      <c r="A881" s="48"/>
      <c r="B881" s="49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</row>
    <row r="882" spans="1:37">
      <c r="A882" s="48"/>
      <c r="B882" s="49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</row>
    <row r="883" spans="1:37">
      <c r="A883" s="48"/>
      <c r="B883" s="49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</row>
    <row r="884" spans="1:37">
      <c r="A884" s="48"/>
      <c r="B884" s="49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</row>
    <row r="885" spans="1:37">
      <c r="A885" s="48"/>
      <c r="B885" s="49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</row>
    <row r="886" spans="1:37">
      <c r="A886" s="48"/>
      <c r="B886" s="49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</row>
    <row r="887" spans="1:37">
      <c r="A887" s="48"/>
      <c r="B887" s="49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</row>
    <row r="888" spans="1:37">
      <c r="A888" s="48"/>
      <c r="B888" s="49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</row>
    <row r="889" spans="1:37">
      <c r="A889" s="48"/>
      <c r="B889" s="49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</row>
    <row r="890" spans="1:37">
      <c r="A890" s="48"/>
      <c r="B890" s="49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</row>
    <row r="891" spans="1:37">
      <c r="A891" s="48"/>
      <c r="B891" s="49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</row>
    <row r="892" spans="1:37">
      <c r="A892" s="48"/>
      <c r="B892" s="49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</row>
    <row r="893" spans="1:37">
      <c r="A893" s="48"/>
      <c r="B893" s="49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</row>
    <row r="894" spans="1:37">
      <c r="A894" s="48"/>
      <c r="B894" s="49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</row>
    <row r="895" spans="1:37">
      <c r="A895" s="48"/>
      <c r="B895" s="49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</row>
    <row r="896" spans="1:37">
      <c r="A896" s="48"/>
      <c r="B896" s="49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</row>
    <row r="897" spans="1:37">
      <c r="A897" s="48"/>
      <c r="B897" s="49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</row>
    <row r="898" spans="1:37">
      <c r="A898" s="48"/>
      <c r="B898" s="49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</row>
    <row r="899" spans="1:37">
      <c r="A899" s="48"/>
      <c r="B899" s="49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</row>
    <row r="900" spans="1:37">
      <c r="A900" s="48"/>
      <c r="B900" s="49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</row>
    <row r="901" spans="1:37">
      <c r="A901" s="48"/>
      <c r="B901" s="49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</row>
    <row r="902" spans="1:37">
      <c r="A902" s="48"/>
      <c r="B902" s="49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</row>
    <row r="903" spans="1:37">
      <c r="A903" s="48"/>
      <c r="B903" s="49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</row>
    <row r="904" spans="1:37">
      <c r="A904" s="48"/>
      <c r="B904" s="49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</row>
    <row r="905" spans="1:37">
      <c r="A905" s="48"/>
      <c r="B905" s="49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</row>
    <row r="906" spans="1:37">
      <c r="A906" s="48"/>
      <c r="B906" s="49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</row>
    <row r="907" spans="1:37">
      <c r="A907" s="48"/>
      <c r="B907" s="49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</row>
    <row r="908" spans="1:37">
      <c r="A908" s="48"/>
      <c r="B908" s="49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</row>
    <row r="909" spans="1:37">
      <c r="A909" s="48"/>
      <c r="B909" s="49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</row>
    <row r="910" spans="1:37">
      <c r="A910" s="48"/>
      <c r="B910" s="49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</row>
    <row r="911" spans="1:37">
      <c r="A911" s="48"/>
      <c r="B911" s="49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</row>
    <row r="912" spans="1:37">
      <c r="A912" s="48"/>
      <c r="B912" s="49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</row>
    <row r="913" spans="1:37">
      <c r="A913" s="48"/>
      <c r="B913" s="49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</row>
    <row r="914" spans="1:37">
      <c r="A914" s="48"/>
      <c r="B914" s="49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</row>
    <row r="915" spans="1:37">
      <c r="A915" s="48"/>
      <c r="B915" s="49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</row>
    <row r="916" spans="1:37">
      <c r="A916" s="48"/>
      <c r="B916" s="49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</row>
    <row r="917" spans="1:37">
      <c r="A917" s="48"/>
      <c r="B917" s="49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</row>
    <row r="918" spans="1:37">
      <c r="A918" s="48"/>
      <c r="B918" s="49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</row>
    <row r="919" spans="1:37">
      <c r="A919" s="48"/>
      <c r="B919" s="49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</row>
    <row r="920" spans="1:37">
      <c r="A920" s="48"/>
      <c r="B920" s="49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</row>
    <row r="921" spans="1:37">
      <c r="A921" s="48"/>
      <c r="B921" s="49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</row>
    <row r="922" spans="1:37">
      <c r="A922" s="48"/>
      <c r="B922" s="49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</row>
    <row r="923" spans="1:37">
      <c r="A923" s="48"/>
      <c r="B923" s="49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</row>
    <row r="924" spans="1:37">
      <c r="A924" s="48"/>
      <c r="B924" s="49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</row>
    <row r="925" spans="1:37">
      <c r="A925" s="48"/>
      <c r="B925" s="49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</row>
    <row r="926" spans="1:37">
      <c r="A926" s="48"/>
      <c r="B926" s="49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</row>
    <row r="927" spans="1:37">
      <c r="A927" s="48"/>
      <c r="B927" s="49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</row>
    <row r="928" spans="1:37">
      <c r="A928" s="48"/>
      <c r="B928" s="49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</row>
    <row r="929" spans="1:37">
      <c r="A929" s="48"/>
      <c r="B929" s="49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</row>
    <row r="930" spans="1:37">
      <c r="A930" s="48"/>
      <c r="B930" s="49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</row>
    <row r="931" spans="1:37">
      <c r="A931" s="48"/>
      <c r="B931" s="49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</row>
    <row r="932" spans="1:37">
      <c r="A932" s="48"/>
      <c r="B932" s="49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</row>
    <row r="933" spans="1:37">
      <c r="A933" s="48"/>
      <c r="B933" s="49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</row>
    <row r="934" spans="1:37">
      <c r="A934" s="48"/>
      <c r="B934" s="49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</row>
    <row r="935" spans="1:37">
      <c r="A935" s="48"/>
      <c r="B935" s="49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</row>
    <row r="936" spans="1:37">
      <c r="A936" s="48"/>
      <c r="B936" s="49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</row>
    <row r="937" spans="1:37">
      <c r="A937" s="48"/>
      <c r="B937" s="49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</row>
    <row r="938" spans="1:37">
      <c r="A938" s="48"/>
      <c r="B938" s="49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</row>
    <row r="939" spans="1:37">
      <c r="A939" s="48"/>
      <c r="B939" s="49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</row>
    <row r="940" spans="1:37">
      <c r="A940" s="48"/>
      <c r="B940" s="49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</row>
    <row r="941" spans="1:37">
      <c r="A941" s="48"/>
      <c r="B941" s="49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</row>
    <row r="942" spans="1:37">
      <c r="A942" s="48"/>
      <c r="B942" s="49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</row>
    <row r="943" spans="1:37">
      <c r="A943" s="48"/>
      <c r="B943" s="49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</row>
    <row r="944" spans="1:37">
      <c r="A944" s="48"/>
      <c r="B944" s="49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</row>
    <row r="945" spans="1:37">
      <c r="A945" s="48"/>
      <c r="B945" s="49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</row>
    <row r="946" spans="1:37">
      <c r="A946" s="48"/>
      <c r="B946" s="49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</row>
    <row r="947" spans="1:37">
      <c r="A947" s="48"/>
      <c r="B947" s="49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</row>
    <row r="948" spans="1:37">
      <c r="A948" s="48"/>
      <c r="B948" s="49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</row>
    <row r="949" spans="1:37">
      <c r="A949" s="48"/>
      <c r="B949" s="49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</row>
    <row r="950" spans="1:37">
      <c r="A950" s="48"/>
      <c r="B950" s="49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</row>
    <row r="951" spans="1:37">
      <c r="A951" s="48"/>
      <c r="B951" s="49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</row>
    <row r="952" spans="1:37">
      <c r="A952" s="48"/>
      <c r="B952" s="49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</row>
    <row r="953" spans="1:37">
      <c r="A953" s="48"/>
      <c r="B953" s="49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</row>
    <row r="954" spans="1:37">
      <c r="A954" s="48"/>
      <c r="B954" s="49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</row>
    <row r="955" spans="1:37">
      <c r="A955" s="48"/>
      <c r="B955" s="49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</row>
    <row r="956" spans="1:37">
      <c r="A956" s="48"/>
      <c r="B956" s="49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</row>
    <row r="957" spans="1:37">
      <c r="A957" s="48"/>
      <c r="B957" s="49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</row>
    <row r="958" spans="1:37">
      <c r="A958" s="48"/>
      <c r="B958" s="49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</row>
    <row r="959" spans="1:37">
      <c r="A959" s="48"/>
      <c r="B959" s="49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</row>
    <row r="960" spans="1:37">
      <c r="A960" s="48"/>
      <c r="B960" s="49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</row>
    <row r="961" spans="1:37">
      <c r="A961" s="48"/>
      <c r="B961" s="49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</row>
    <row r="962" spans="1:37">
      <c r="A962" s="48"/>
      <c r="B962" s="49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</row>
    <row r="963" spans="1:37">
      <c r="A963" s="48"/>
      <c r="B963" s="49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</row>
    <row r="964" spans="1:37">
      <c r="A964" s="48"/>
      <c r="B964" s="49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</row>
    <row r="965" spans="1:37">
      <c r="A965" s="48"/>
      <c r="B965" s="49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</row>
    <row r="966" spans="1:37">
      <c r="A966" s="48"/>
      <c r="B966" s="49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</row>
    <row r="967" spans="1:37">
      <c r="A967" s="48"/>
      <c r="B967" s="49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</row>
    <row r="968" spans="1:37">
      <c r="A968" s="48"/>
      <c r="B968" s="49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</row>
    <row r="969" spans="1:37">
      <c r="A969" s="48"/>
      <c r="B969" s="49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</row>
    <row r="970" spans="1:37">
      <c r="A970" s="48"/>
      <c r="B970" s="49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</row>
    <row r="971" spans="1:37">
      <c r="A971" s="48"/>
      <c r="B971" s="49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</row>
    <row r="972" spans="1:37">
      <c r="A972" s="48"/>
      <c r="B972" s="49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</row>
    <row r="973" spans="1:37">
      <c r="A973" s="48"/>
      <c r="B973" s="49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</row>
    <row r="974" spans="1:37">
      <c r="A974" s="48"/>
      <c r="B974" s="49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</row>
    <row r="975" spans="1:37">
      <c r="A975" s="48"/>
      <c r="B975" s="49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</row>
    <row r="976" spans="1:37">
      <c r="A976" s="48"/>
      <c r="B976" s="49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</row>
    <row r="977" spans="1:37">
      <c r="A977" s="48"/>
      <c r="B977" s="49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</row>
    <row r="978" spans="1:37">
      <c r="A978" s="48"/>
      <c r="B978" s="49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</row>
    <row r="979" spans="1:37">
      <c r="A979" s="48"/>
      <c r="B979" s="49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</row>
    <row r="980" spans="1:37">
      <c r="A980" s="48"/>
      <c r="B980" s="49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</row>
    <row r="981" spans="1:37">
      <c r="A981" s="48"/>
      <c r="B981" s="49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</row>
    <row r="982" spans="1:37">
      <c r="A982" s="48"/>
      <c r="B982" s="49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</row>
    <row r="983" spans="1:37">
      <c r="A983" s="48"/>
      <c r="B983" s="49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</row>
    <row r="984" spans="1:37">
      <c r="A984" s="48"/>
      <c r="B984" s="49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</row>
    <row r="985" spans="1:37">
      <c r="A985" s="48"/>
      <c r="B985" s="49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</row>
    <row r="986" spans="1:37">
      <c r="A986" s="48"/>
      <c r="B986" s="49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</row>
    <row r="987" spans="1:37">
      <c r="A987" s="48"/>
      <c r="B987" s="49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</row>
    <row r="988" spans="1:37">
      <c r="A988" s="48"/>
      <c r="B988" s="49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</row>
    <row r="989" spans="1:37">
      <c r="A989" s="48"/>
      <c r="B989" s="49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</row>
    <row r="990" spans="1:37">
      <c r="A990" s="48"/>
      <c r="B990" s="49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</row>
    <row r="991" spans="1:37">
      <c r="A991" s="48"/>
      <c r="B991" s="49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</row>
    <row r="992" spans="1:37">
      <c r="A992" s="48"/>
      <c r="B992" s="49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</row>
    <row r="993" spans="1:37">
      <c r="A993" s="48"/>
      <c r="B993" s="49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</row>
    <row r="994" spans="1:37">
      <c r="A994" s="48"/>
      <c r="B994" s="49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</row>
    <row r="995" spans="1:37">
      <c r="A995" s="48"/>
      <c r="B995" s="49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</row>
    <row r="996" spans="1:37">
      <c r="A996" s="48"/>
      <c r="B996" s="49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</row>
    <row r="997" spans="1:37">
      <c r="A997" s="48"/>
      <c r="B997" s="49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</row>
    <row r="998" spans="1:37">
      <c r="A998" s="48"/>
      <c r="B998" s="49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</row>
    <row r="999" spans="1:37">
      <c r="A999" s="48"/>
      <c r="B999" s="49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</row>
    <row r="1000" spans="1:37">
      <c r="A1000" s="48"/>
      <c r="B1000" s="49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</row>
    <row r="1001" spans="1:37">
      <c r="A1001" s="48"/>
      <c r="B1001" s="49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</row>
    <row r="1002" spans="1:37">
      <c r="A1002" s="48"/>
      <c r="B1002" s="49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</row>
    <row r="1003" spans="1:37">
      <c r="A1003" s="48"/>
      <c r="B1003" s="49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</row>
    <row r="1004" spans="1:37">
      <c r="A1004" s="48"/>
      <c r="B1004" s="49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</row>
    <row r="1005" spans="1:37">
      <c r="A1005" s="48"/>
      <c r="B1005" s="49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</row>
    <row r="1006" spans="1:37">
      <c r="A1006" s="48"/>
      <c r="B1006" s="49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</row>
    <row r="1007" spans="1:37">
      <c r="A1007" s="48"/>
      <c r="B1007" s="49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</row>
    <row r="1008" spans="1:37">
      <c r="A1008" s="48"/>
      <c r="B1008" s="49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</row>
    <row r="1009" spans="1:37">
      <c r="A1009" s="48"/>
      <c r="B1009" s="49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</row>
    <row r="1010" spans="1:37">
      <c r="A1010" s="48"/>
      <c r="B1010" s="49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</row>
    <row r="1011" spans="1:37">
      <c r="A1011" s="48"/>
      <c r="B1011" s="49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</row>
    <row r="1012" spans="1:37">
      <c r="A1012" s="48"/>
      <c r="B1012" s="49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</row>
    <row r="1013" spans="1:37">
      <c r="A1013" s="48"/>
      <c r="B1013" s="49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</row>
    <row r="1014" spans="1:37">
      <c r="A1014" s="48"/>
      <c r="B1014" s="49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</row>
    <row r="1015" spans="1:37">
      <c r="A1015" s="48"/>
      <c r="B1015" s="49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</row>
    <row r="1016" spans="1:37">
      <c r="A1016" s="48"/>
      <c r="B1016" s="49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</row>
    <row r="1017" spans="1:37">
      <c r="A1017" s="48"/>
      <c r="B1017" s="49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</row>
    <row r="1018" spans="1:37">
      <c r="A1018" s="48"/>
      <c r="B1018" s="49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</row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0000"/>
    <outlinePr summaryBelow="0" summaryRight="0"/>
    <pageSetUpPr fitToPage="1"/>
  </sheetPr>
  <dimension ref="A1:Y706"/>
  <sheetViews>
    <sheetView tabSelected="1" workbookViewId="0" zoomScale="115" zoomScaleNormal="115" showGridLines="true" showRowColHeaders="1">
      <selection activeCell="I325" sqref="I325"/>
    </sheetView>
  </sheetViews>
  <sheetFormatPr defaultRowHeight="14.4" defaultColWidth="12.7109375" outlineLevelRow="0" outlineLevelCol="0"/>
  <cols>
    <col min="1" max="1" width="28" customWidth="true" style="0"/>
    <col min="2" max="2" width="6.85546875" customWidth="true" style="0"/>
    <col min="3" max="3" width="6.85546875" customWidth="true" style="0"/>
    <col min="4" max="4" width="6.85546875" customWidth="true" style="0"/>
    <col min="5" max="5" width="6.85546875" customWidth="true" style="0"/>
    <col min="6" max="6" width="6.85546875" customWidth="true" style="0"/>
    <col min="7" max="7" width="6.85546875" customWidth="true" style="0"/>
    <col min="8" max="8" width="6.85546875" customWidth="true" style="0"/>
    <col min="9" max="9" width="8" customWidth="true" style="0"/>
    <col min="10" max="10" width="6.85546875" customWidth="true" style="0"/>
    <col min="11" max="11" width="6.85546875" customWidth="true" style="0"/>
    <col min="12" max="12" width="7.28515625" customWidth="true" style="0"/>
    <col min="13" max="13" width="7.28515625" customWidth="true" style="0"/>
    <col min="14" max="14" width="7.28515625" customWidth="true" style="0"/>
    <col min="15" max="15" width="7.28515625" customWidth="true" style="0"/>
    <col min="16" max="16" width="7.28515625" customWidth="true" style="0"/>
    <col min="17" max="17" width="7.7109375" customWidth="true" style="0"/>
    <col min="18" max="18" width="9.140625" customWidth="true" style="0"/>
    <col min="19" max="19" width="6.85546875" customWidth="true" style="0"/>
    <col min="20" max="20" width="6.85546875" customWidth="true" style="0"/>
    <col min="21" max="21" width="6.85546875" customWidth="true" style="0"/>
    <col min="22" max="22" width="6.85546875" customWidth="true" style="0"/>
    <col min="23" max="23" width="6.85546875" customWidth="true" style="0"/>
    <col min="24" max="24" width="6.85546875" customWidth="true" style="0"/>
    <col min="25" max="25" width="6.85546875" customWidth="true" style="0"/>
  </cols>
  <sheetData>
    <row r="1" spans="1:25">
      <c r="A1" s="151"/>
      <c r="B1" s="50"/>
      <c r="C1" s="50"/>
      <c r="D1" s="150"/>
      <c r="E1" s="150"/>
      <c r="F1" s="150"/>
      <c r="G1" s="57"/>
      <c r="H1" s="3"/>
      <c r="I1" s="50"/>
      <c r="J1" s="57"/>
      <c r="K1" s="50"/>
      <c r="L1" s="50"/>
      <c r="M1" s="50"/>
      <c r="N1" s="50"/>
      <c r="O1" s="50"/>
      <c r="P1" s="50"/>
      <c r="Q1" s="50"/>
      <c r="R1" s="50"/>
      <c r="S1" s="50"/>
      <c r="T1" s="50"/>
      <c r="U1" s="138" t="s">
        <v>724</v>
      </c>
      <c r="V1" s="139"/>
      <c r="W1" s="139"/>
      <c r="X1" s="139"/>
      <c r="Y1" s="139"/>
    </row>
    <row r="2" spans="1:25">
      <c r="A2" s="141"/>
      <c r="B2" s="50"/>
      <c r="C2" s="50"/>
      <c r="D2" s="146" t="s">
        <v>725</v>
      </c>
      <c r="E2" s="146"/>
      <c r="F2" s="146"/>
      <c r="G2" s="57" t="s">
        <v>726</v>
      </c>
      <c r="H2" s="57" t="s">
        <v>727</v>
      </c>
      <c r="I2" s="57"/>
      <c r="J2" s="59">
        <v>2025</v>
      </c>
      <c r="K2" s="57"/>
      <c r="L2" s="57"/>
      <c r="M2" s="57"/>
      <c r="N2" s="57"/>
      <c r="O2" s="57"/>
      <c r="P2" s="57"/>
      <c r="Q2" s="57"/>
      <c r="R2" s="57"/>
      <c r="S2" s="50"/>
      <c r="T2" s="50"/>
      <c r="U2" s="139"/>
      <c r="V2" s="139"/>
      <c r="W2" s="139"/>
      <c r="X2" s="139"/>
      <c r="Y2" s="139"/>
    </row>
    <row r="3" spans="1:25">
      <c r="A3" s="141"/>
      <c r="B3" s="50"/>
      <c r="C3" s="50"/>
      <c r="D3" s="57" t="s">
        <v>728</v>
      </c>
      <c r="E3" s="57"/>
      <c r="F3" s="57"/>
      <c r="G3" s="61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0"/>
      <c r="T3" s="50"/>
      <c r="U3" s="139"/>
      <c r="V3" s="139"/>
      <c r="W3" s="139"/>
      <c r="X3" s="139"/>
      <c r="Y3" s="139"/>
    </row>
    <row r="4" spans="1:25">
      <c r="A4" s="141"/>
      <c r="B4" s="50"/>
      <c r="C4" s="50"/>
      <c r="D4" s="57" t="s">
        <v>729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0"/>
      <c r="T4" s="50"/>
      <c r="U4" s="139"/>
      <c r="V4" s="139"/>
      <c r="W4" s="139"/>
      <c r="X4" s="139"/>
      <c r="Y4" s="139"/>
    </row>
    <row r="5" spans="1:25">
      <c r="A5" s="141"/>
      <c r="B5" s="50"/>
      <c r="C5" s="50"/>
      <c r="D5" s="140" t="s">
        <v>730</v>
      </c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50"/>
      <c r="T5" s="50"/>
      <c r="U5" s="139"/>
      <c r="V5" s="139"/>
      <c r="W5" s="139"/>
      <c r="X5" s="139"/>
      <c r="Y5" s="139"/>
    </row>
    <row r="6" spans="1:25">
      <c r="A6" s="141"/>
      <c r="B6" s="50"/>
      <c r="C6" s="50"/>
      <c r="D6" s="146" t="s">
        <v>5</v>
      </c>
      <c r="E6" s="146"/>
      <c r="F6" s="146"/>
      <c r="G6" s="60" t="s">
        <v>731</v>
      </c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0"/>
      <c r="T6" s="50"/>
      <c r="U6" s="139"/>
      <c r="V6" s="139"/>
      <c r="W6" s="139"/>
      <c r="X6" s="139"/>
      <c r="Y6" s="139"/>
    </row>
    <row r="7" spans="1:25">
      <c r="A7" s="141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139"/>
      <c r="V7" s="139"/>
      <c r="W7" s="139"/>
      <c r="X7" s="139"/>
      <c r="Y7" s="139"/>
    </row>
    <row r="8" spans="1:25">
      <c r="A8" s="142" t="s">
        <v>732</v>
      </c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5"/>
    </row>
    <row r="9" spans="1:25">
      <c r="A9" s="152" t="s">
        <v>733</v>
      </c>
      <c r="B9" s="128"/>
      <c r="C9" s="128"/>
      <c r="D9" s="129"/>
      <c r="E9" s="133" t="s">
        <v>734</v>
      </c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5"/>
      <c r="Q9" s="127" t="s">
        <v>735</v>
      </c>
      <c r="R9" s="128"/>
      <c r="S9" s="128"/>
      <c r="T9" s="129"/>
      <c r="U9" s="127" t="s">
        <v>736</v>
      </c>
      <c r="V9" s="128"/>
      <c r="W9" s="128"/>
      <c r="X9" s="128"/>
      <c r="Y9" s="129"/>
    </row>
    <row r="10" spans="1:25">
      <c r="A10" s="130"/>
      <c r="B10" s="131"/>
      <c r="C10" s="131"/>
      <c r="D10" s="132"/>
      <c r="E10" s="145" t="s">
        <v>737</v>
      </c>
      <c r="F10" s="134"/>
      <c r="G10" s="134"/>
      <c r="H10" s="135"/>
      <c r="I10" s="133" t="s">
        <v>738</v>
      </c>
      <c r="J10" s="134"/>
      <c r="K10" s="134"/>
      <c r="L10" s="135"/>
      <c r="M10" s="133" t="s">
        <v>739</v>
      </c>
      <c r="N10" s="134"/>
      <c r="O10" s="134"/>
      <c r="P10" s="135"/>
      <c r="Q10" s="130"/>
      <c r="R10" s="131"/>
      <c r="S10" s="131"/>
      <c r="T10" s="132"/>
      <c r="U10" s="130"/>
      <c r="V10" s="131"/>
      <c r="W10" s="131"/>
      <c r="X10" s="131"/>
      <c r="Y10" s="132"/>
    </row>
    <row r="11" spans="1:25">
      <c r="A11" s="147" t="s">
        <v>740</v>
      </c>
      <c r="B11" s="141"/>
      <c r="C11" s="141"/>
      <c r="D11" s="144"/>
      <c r="E11" s="143"/>
      <c r="F11" s="141"/>
      <c r="G11" s="141"/>
      <c r="H11" s="144"/>
      <c r="I11" s="143"/>
      <c r="J11" s="141"/>
      <c r="K11" s="141"/>
      <c r="L11" s="144"/>
      <c r="M11" s="143"/>
      <c r="N11" s="141"/>
      <c r="O11" s="141"/>
      <c r="P11" s="144"/>
      <c r="Q11" s="143"/>
      <c r="R11" s="141"/>
      <c r="S11" s="141"/>
      <c r="T11" s="144"/>
      <c r="U11" s="143"/>
      <c r="V11" s="141"/>
      <c r="W11" s="141"/>
      <c r="X11" s="141"/>
      <c r="Y11" s="144"/>
    </row>
    <row r="12" spans="1:25">
      <c r="A12" s="148" t="s">
        <v>741</v>
      </c>
      <c r="B12" s="127" t="s">
        <v>742</v>
      </c>
      <c r="C12" s="128"/>
      <c r="D12" s="128"/>
      <c r="E12" s="129"/>
      <c r="F12" s="133" t="s">
        <v>743</v>
      </c>
      <c r="G12" s="134"/>
      <c r="H12" s="134"/>
      <c r="I12" s="134"/>
      <c r="J12" s="134"/>
      <c r="K12" s="134"/>
      <c r="L12" s="134"/>
      <c r="M12" s="135"/>
      <c r="N12" s="127" t="s">
        <v>744</v>
      </c>
      <c r="O12" s="128"/>
      <c r="P12" s="128"/>
      <c r="Q12" s="129"/>
      <c r="R12" s="127" t="s">
        <v>745</v>
      </c>
      <c r="S12" s="128"/>
      <c r="T12" s="128"/>
      <c r="U12" s="129"/>
      <c r="V12" s="127" t="s">
        <v>746</v>
      </c>
      <c r="W12" s="128"/>
      <c r="X12" s="128"/>
      <c r="Y12" s="129"/>
    </row>
    <row r="13" spans="1:25">
      <c r="A13" s="149"/>
      <c r="B13" s="130"/>
      <c r="C13" s="131"/>
      <c r="D13" s="131"/>
      <c r="E13" s="132"/>
      <c r="F13" s="133" t="s">
        <v>747</v>
      </c>
      <c r="G13" s="134"/>
      <c r="H13" s="134"/>
      <c r="I13" s="135"/>
      <c r="J13" s="133" t="s">
        <v>748</v>
      </c>
      <c r="K13" s="134"/>
      <c r="L13" s="134"/>
      <c r="M13" s="135"/>
      <c r="N13" s="130"/>
      <c r="O13" s="131"/>
      <c r="P13" s="131"/>
      <c r="Q13" s="132"/>
      <c r="R13" s="130"/>
      <c r="S13" s="131"/>
      <c r="T13" s="131"/>
      <c r="U13" s="132"/>
      <c r="V13" s="130"/>
      <c r="W13" s="131"/>
      <c r="X13" s="131"/>
      <c r="Y13" s="132"/>
    </row>
    <row r="14" spans="1:25">
      <c r="A14" s="149"/>
      <c r="B14" s="133" t="s">
        <v>734</v>
      </c>
      <c r="C14" s="134"/>
      <c r="D14" s="135"/>
      <c r="E14" s="136" t="s">
        <v>749</v>
      </c>
      <c r="F14" s="133" t="s">
        <v>734</v>
      </c>
      <c r="G14" s="134"/>
      <c r="H14" s="135"/>
      <c r="I14" s="136" t="s">
        <v>749</v>
      </c>
      <c r="J14" s="133" t="s">
        <v>734</v>
      </c>
      <c r="K14" s="134"/>
      <c r="L14" s="135"/>
      <c r="M14" s="136" t="s">
        <v>749</v>
      </c>
      <c r="N14" s="133" t="s">
        <v>734</v>
      </c>
      <c r="O14" s="134"/>
      <c r="P14" s="135"/>
      <c r="Q14" s="136" t="s">
        <v>749</v>
      </c>
      <c r="R14" s="133" t="s">
        <v>734</v>
      </c>
      <c r="S14" s="134"/>
      <c r="T14" s="135"/>
      <c r="U14" s="136" t="s">
        <v>749</v>
      </c>
      <c r="V14" s="133" t="s">
        <v>734</v>
      </c>
      <c r="W14" s="134"/>
      <c r="X14" s="135"/>
      <c r="Y14" s="136" t="s">
        <v>749</v>
      </c>
    </row>
    <row r="15" spans="1:25">
      <c r="A15" s="137"/>
      <c r="B15" s="52" t="s">
        <v>750</v>
      </c>
      <c r="C15" s="51" t="s">
        <v>751</v>
      </c>
      <c r="D15" s="51" t="s">
        <v>752</v>
      </c>
      <c r="E15" s="137"/>
      <c r="F15" s="52" t="s">
        <v>750</v>
      </c>
      <c r="G15" s="51" t="s">
        <v>751</v>
      </c>
      <c r="H15" s="51" t="s">
        <v>752</v>
      </c>
      <c r="I15" s="137"/>
      <c r="J15" s="52" t="s">
        <v>750</v>
      </c>
      <c r="K15" s="51" t="s">
        <v>751</v>
      </c>
      <c r="L15" s="51" t="s">
        <v>752</v>
      </c>
      <c r="M15" s="137"/>
      <c r="N15" s="52" t="s">
        <v>750</v>
      </c>
      <c r="O15" s="51" t="s">
        <v>751</v>
      </c>
      <c r="P15" s="51" t="s">
        <v>752</v>
      </c>
      <c r="Q15" s="137"/>
      <c r="R15" s="52" t="s">
        <v>750</v>
      </c>
      <c r="S15" s="51" t="s">
        <v>751</v>
      </c>
      <c r="T15" s="51" t="s">
        <v>752</v>
      </c>
      <c r="U15" s="137"/>
      <c r="V15" s="52" t="s">
        <v>750</v>
      </c>
      <c r="W15" s="51" t="s">
        <v>751</v>
      </c>
      <c r="X15" s="51" t="s">
        <v>752</v>
      </c>
      <c r="Y15" s="137"/>
    </row>
    <row r="16" spans="1:25">
      <c r="A16" s="53" t="s">
        <v>753</v>
      </c>
      <c r="B16" s="54"/>
      <c r="C16" s="54"/>
      <c r="D16" s="54"/>
      <c r="E16" s="55">
        <f>SUM(B16:D16)</f>
        <v>0</v>
      </c>
      <c r="F16" s="54"/>
      <c r="G16" s="54"/>
      <c r="H16" s="54"/>
      <c r="I16" s="55">
        <f>SUM(F16:H16)</f>
        <v>0</v>
      </c>
      <c r="J16" s="54"/>
      <c r="K16" s="54"/>
      <c r="L16" s="54"/>
      <c r="M16" s="55">
        <f>SUM(J16:L16)</f>
        <v>0</v>
      </c>
      <c r="N16" s="54"/>
      <c r="O16" s="54"/>
      <c r="P16" s="54"/>
      <c r="Q16" s="55">
        <f>SUM(N16:P16)</f>
        <v>0</v>
      </c>
      <c r="R16" s="54">
        <f>SUM(B16,F16,J16-N16)</f>
        <v>0</v>
      </c>
      <c r="S16" s="54">
        <f>SUM(C16,G16,K16-O16)</f>
        <v>0</v>
      </c>
      <c r="T16" s="54">
        <f>SUM(D16,H16,L16-P16)</f>
        <v>0</v>
      </c>
      <c r="U16" s="55">
        <f>SUM(R16:T16)</f>
        <v>0</v>
      </c>
      <c r="V16" s="54"/>
      <c r="W16" s="54"/>
      <c r="X16" s="54"/>
      <c r="Y16" s="55">
        <f>SUM(V16:X16)</f>
        <v>0</v>
      </c>
    </row>
    <row r="17" spans="1:25">
      <c r="A17" s="53" t="s">
        <v>754</v>
      </c>
      <c r="B17" s="54"/>
      <c r="C17" s="54"/>
      <c r="D17" s="54"/>
      <c r="E17" s="55">
        <f>SUM(B17:D17)</f>
        <v>0</v>
      </c>
      <c r="F17" s="54"/>
      <c r="G17" s="54"/>
      <c r="H17" s="54"/>
      <c r="I17" s="55">
        <f>SUM(F17:H17)</f>
        <v>0</v>
      </c>
      <c r="J17" s="54"/>
      <c r="K17" s="54"/>
      <c r="L17" s="54"/>
      <c r="M17" s="55">
        <f>SUM(J17:L17)</f>
        <v>0</v>
      </c>
      <c r="N17" s="54"/>
      <c r="O17" s="54"/>
      <c r="P17" s="54"/>
      <c r="Q17" s="55">
        <f>SUM(N17:P17)</f>
        <v>0</v>
      </c>
      <c r="R17" s="54">
        <f>SUM(B17,F17,J17-N17)</f>
        <v>0</v>
      </c>
      <c r="S17" s="54">
        <f>SUM(C17,G17,K17-O17)</f>
        <v>0</v>
      </c>
      <c r="T17" s="54">
        <f>SUM(D17,H17,L17-P17)</f>
        <v>0</v>
      </c>
      <c r="U17" s="55">
        <f>SUM(R17:T17)</f>
        <v>0</v>
      </c>
      <c r="V17" s="54"/>
      <c r="W17" s="54"/>
      <c r="X17" s="54"/>
      <c r="Y17" s="55">
        <f>SUM(V17:X17)</f>
        <v>0</v>
      </c>
    </row>
    <row r="18" spans="1:25">
      <c r="A18" s="53" t="s">
        <v>755</v>
      </c>
      <c r="B18" s="54"/>
      <c r="C18" s="54"/>
      <c r="D18" s="54"/>
      <c r="E18" s="55">
        <f>SUM(B18:D18)</f>
        <v>0</v>
      </c>
      <c r="F18" s="54"/>
      <c r="G18" s="54"/>
      <c r="H18" s="54"/>
      <c r="I18" s="55">
        <f>SUM(F18:H18)</f>
        <v>0</v>
      </c>
      <c r="J18" s="54"/>
      <c r="K18" s="54"/>
      <c r="L18" s="54"/>
      <c r="M18" s="55">
        <f>SUM(J18:L18)</f>
        <v>0</v>
      </c>
      <c r="N18" s="54"/>
      <c r="O18" s="54"/>
      <c r="P18" s="54"/>
      <c r="Q18" s="55">
        <f>SUM(N18:P18)</f>
        <v>0</v>
      </c>
      <c r="R18" s="54">
        <f>SUM(B18,F18,J18-N18)</f>
        <v>0</v>
      </c>
      <c r="S18" s="54">
        <f>SUM(C18,G18,K18-O18)</f>
        <v>0</v>
      </c>
      <c r="T18" s="54">
        <f>SUM(D18,H18,L18-P18)</f>
        <v>0</v>
      </c>
      <c r="U18" s="55">
        <f>SUM(R18:T18)</f>
        <v>0</v>
      </c>
      <c r="V18" s="54"/>
      <c r="W18" s="54"/>
      <c r="X18" s="54"/>
      <c r="Y18" s="55">
        <f>SUM(V18:X18)</f>
        <v>0</v>
      </c>
    </row>
    <row r="19" spans="1:25">
      <c r="A19" s="53" t="s">
        <v>756</v>
      </c>
      <c r="B19" s="54"/>
      <c r="C19" s="54"/>
      <c r="D19" s="54"/>
      <c r="E19" s="55">
        <f>SUM(B19:D19)</f>
        <v>0</v>
      </c>
      <c r="F19" s="54"/>
      <c r="G19" s="54"/>
      <c r="H19" s="54"/>
      <c r="I19" s="55">
        <f>SUM(F19:H19)</f>
        <v>0</v>
      </c>
      <c r="J19" s="54"/>
      <c r="K19" s="54"/>
      <c r="L19" s="54"/>
      <c r="M19" s="55">
        <f>SUM(J19:L19)</f>
        <v>0</v>
      </c>
      <c r="N19" s="54"/>
      <c r="O19" s="54"/>
      <c r="P19" s="54"/>
      <c r="Q19" s="55">
        <f>SUM(N19:P19)</f>
        <v>0</v>
      </c>
      <c r="R19" s="54">
        <f>SUM(B19,F19,J19-N19)</f>
        <v>0</v>
      </c>
      <c r="S19" s="54">
        <f>SUM(C19,G19,K19-O19)</f>
        <v>0</v>
      </c>
      <c r="T19" s="54">
        <f>SUM(D19,H19,L19-P19)</f>
        <v>0</v>
      </c>
      <c r="U19" s="55">
        <f>SUM(R19:T19)</f>
        <v>0</v>
      </c>
      <c r="V19" s="54"/>
      <c r="W19" s="54"/>
      <c r="X19" s="54"/>
      <c r="Y19" s="55">
        <f>SUM(V19:X19)</f>
        <v>0</v>
      </c>
    </row>
    <row r="20" spans="1:25">
      <c r="A20" s="53" t="s">
        <v>757</v>
      </c>
      <c r="B20" s="54"/>
      <c r="C20" s="54"/>
      <c r="D20" s="54"/>
      <c r="E20" s="55">
        <f>SUM(B20:D20)</f>
        <v>0</v>
      </c>
      <c r="F20" s="54"/>
      <c r="G20" s="54"/>
      <c r="H20" s="54"/>
      <c r="I20" s="55">
        <f>SUM(F20:H20)</f>
        <v>0</v>
      </c>
      <c r="J20" s="54"/>
      <c r="K20" s="54"/>
      <c r="L20" s="54"/>
      <c r="M20" s="55">
        <f>SUM(J20:L20)</f>
        <v>0</v>
      </c>
      <c r="N20" s="54"/>
      <c r="O20" s="54"/>
      <c r="P20" s="54"/>
      <c r="Q20" s="55">
        <f>SUM(N20:P20)</f>
        <v>0</v>
      </c>
      <c r="R20" s="54">
        <f>SUM(B20,F20,J20-N20)</f>
        <v>0</v>
      </c>
      <c r="S20" s="54">
        <f>SUM(C20,G20,K20-O20)</f>
        <v>0</v>
      </c>
      <c r="T20" s="54">
        <f>SUM(D20,H20,L20-P20)</f>
        <v>0</v>
      </c>
      <c r="U20" s="55">
        <f>SUM(R20:T20)</f>
        <v>0</v>
      </c>
      <c r="V20" s="54"/>
      <c r="W20" s="54"/>
      <c r="X20" s="54"/>
      <c r="Y20" s="55">
        <f>SUM(V20:X20)</f>
        <v>0</v>
      </c>
    </row>
    <row r="21" spans="1:25">
      <c r="A21" s="53" t="s">
        <v>758</v>
      </c>
      <c r="B21" s="54"/>
      <c r="C21" s="54"/>
      <c r="D21" s="54"/>
      <c r="E21" s="55">
        <f>SUM(B21:D21)</f>
        <v>0</v>
      </c>
      <c r="F21" s="54"/>
      <c r="G21" s="54"/>
      <c r="H21" s="54"/>
      <c r="I21" s="55">
        <f>SUM(F21:H21)</f>
        <v>0</v>
      </c>
      <c r="J21" s="54"/>
      <c r="K21" s="54"/>
      <c r="L21" s="54"/>
      <c r="M21" s="55">
        <f>SUM(J21:L21)</f>
        <v>0</v>
      </c>
      <c r="N21" s="54"/>
      <c r="O21" s="54"/>
      <c r="P21" s="54"/>
      <c r="Q21" s="55">
        <f>SUM(N21:P21)</f>
        <v>0</v>
      </c>
      <c r="R21" s="54">
        <f>SUM(B21,F21,J21-N21)</f>
        <v>0</v>
      </c>
      <c r="S21" s="54">
        <f>SUM(C21,G21,K21-O21)</f>
        <v>0</v>
      </c>
      <c r="T21" s="54">
        <f>SUM(D21,H21,L21-P21)</f>
        <v>0</v>
      </c>
      <c r="U21" s="55">
        <f>SUM(R21:T21)</f>
        <v>0</v>
      </c>
      <c r="V21" s="54"/>
      <c r="W21" s="54"/>
      <c r="X21" s="54"/>
      <c r="Y21" s="55">
        <f>SUM(V21:X21)</f>
        <v>0</v>
      </c>
    </row>
    <row r="22" spans="1:25">
      <c r="A22" s="53" t="s">
        <v>759</v>
      </c>
      <c r="B22" s="54"/>
      <c r="C22" s="54"/>
      <c r="D22" s="54"/>
      <c r="E22" s="55">
        <f>SUM(B22:D22)</f>
        <v>0</v>
      </c>
      <c r="F22" s="54"/>
      <c r="G22" s="54"/>
      <c r="H22" s="54"/>
      <c r="I22" s="55">
        <f>SUM(F22:H22)</f>
        <v>0</v>
      </c>
      <c r="J22" s="54"/>
      <c r="K22" s="54"/>
      <c r="L22" s="54"/>
      <c r="M22" s="55">
        <f>SUM(J22:L22)</f>
        <v>0</v>
      </c>
      <c r="N22" s="54"/>
      <c r="O22" s="54"/>
      <c r="P22" s="54"/>
      <c r="Q22" s="55">
        <f>SUM(N22:P22)</f>
        <v>0</v>
      </c>
      <c r="R22" s="54">
        <f>SUM(B22,F22,J22-N22)</f>
        <v>0</v>
      </c>
      <c r="S22" s="54">
        <f>SUM(C22,G22,K22-O22)</f>
        <v>0</v>
      </c>
      <c r="T22" s="54">
        <f>SUM(D22,H22,L22-P22)</f>
        <v>0</v>
      </c>
      <c r="U22" s="55">
        <f>SUM(R22:T22)</f>
        <v>0</v>
      </c>
      <c r="V22" s="54"/>
      <c r="W22" s="54"/>
      <c r="X22" s="54"/>
      <c r="Y22" s="55">
        <f>SUM(V22:X22)</f>
        <v>0</v>
      </c>
    </row>
    <row r="23" spans="1:25">
      <c r="A23" s="53" t="s">
        <v>760</v>
      </c>
      <c r="B23" s="54"/>
      <c r="C23" s="54"/>
      <c r="D23" s="54"/>
      <c r="E23" s="55">
        <f>SUM(B23:D23)</f>
        <v>0</v>
      </c>
      <c r="F23" s="54"/>
      <c r="G23" s="54"/>
      <c r="H23" s="54"/>
      <c r="I23" s="55">
        <f>SUM(F23:H23)</f>
        <v>0</v>
      </c>
      <c r="J23" s="54"/>
      <c r="K23" s="54"/>
      <c r="L23" s="54"/>
      <c r="M23" s="55">
        <f>SUM(J23:L23)</f>
        <v>0</v>
      </c>
      <c r="N23" s="54"/>
      <c r="O23" s="54"/>
      <c r="P23" s="54"/>
      <c r="Q23" s="55">
        <f>SUM(N23:P23)</f>
        <v>0</v>
      </c>
      <c r="R23" s="54">
        <f>SUM(B23,F23,J23-N23)</f>
        <v>0</v>
      </c>
      <c r="S23" s="54">
        <f>SUM(C23,G23,K23-O23)</f>
        <v>0</v>
      </c>
      <c r="T23" s="54">
        <f>SUM(D23,H23,L23-P23)</f>
        <v>0</v>
      </c>
      <c r="U23" s="55">
        <f>SUM(R23:T23)</f>
        <v>0</v>
      </c>
      <c r="V23" s="54"/>
      <c r="W23" s="54"/>
      <c r="X23" s="54"/>
      <c r="Y23" s="55">
        <f>SUM(V23:X23)</f>
        <v>0</v>
      </c>
    </row>
    <row r="24" spans="1:25">
      <c r="A24" s="53" t="s">
        <v>761</v>
      </c>
      <c r="B24" s="54"/>
      <c r="C24" s="54"/>
      <c r="D24" s="54"/>
      <c r="E24" s="55">
        <f>SUM(B24:D24)</f>
        <v>0</v>
      </c>
      <c r="F24" s="54"/>
      <c r="G24" s="54"/>
      <c r="H24" s="54"/>
      <c r="I24" s="55">
        <f>SUM(F24:H24)</f>
        <v>0</v>
      </c>
      <c r="J24" s="54"/>
      <c r="K24" s="54"/>
      <c r="L24" s="54"/>
      <c r="M24" s="55">
        <f>SUM(J24:L24)</f>
        <v>0</v>
      </c>
      <c r="N24" s="54"/>
      <c r="O24" s="54"/>
      <c r="P24" s="54"/>
      <c r="Q24" s="55">
        <f>SUM(N24:P24)</f>
        <v>0</v>
      </c>
      <c r="R24" s="54">
        <f>SUM(B24,F24,J24-N24)</f>
        <v>0</v>
      </c>
      <c r="S24" s="54">
        <f>SUM(C24,G24,K24-O24)</f>
        <v>0</v>
      </c>
      <c r="T24" s="54">
        <f>SUM(D24,H24,L24-P24)</f>
        <v>0</v>
      </c>
      <c r="U24" s="55">
        <f>SUM(R24:T24)</f>
        <v>0</v>
      </c>
      <c r="V24" s="54"/>
      <c r="W24" s="54"/>
      <c r="X24" s="54"/>
      <c r="Y24" s="55">
        <f>SUM(V24:X24)</f>
        <v>0</v>
      </c>
    </row>
    <row r="25" spans="1:25">
      <c r="A25" s="53" t="s">
        <v>762</v>
      </c>
      <c r="B25" s="54"/>
      <c r="C25" s="54"/>
      <c r="D25" s="54"/>
      <c r="E25" s="55">
        <f>SUM(B25:D25)</f>
        <v>0</v>
      </c>
      <c r="F25" s="54"/>
      <c r="G25" s="54"/>
      <c r="H25" s="54"/>
      <c r="I25" s="55">
        <f>SUM(F25:H25)</f>
        <v>0</v>
      </c>
      <c r="J25" s="54"/>
      <c r="K25" s="54"/>
      <c r="L25" s="54"/>
      <c r="M25" s="55">
        <f>SUM(J25:L25)</f>
        <v>0</v>
      </c>
      <c r="N25" s="54"/>
      <c r="O25" s="54"/>
      <c r="P25" s="54"/>
      <c r="Q25" s="55">
        <f>SUM(N25:P25)</f>
        <v>0</v>
      </c>
      <c r="R25" s="54">
        <f>SUM(B25,F25,J25-N25)</f>
        <v>0</v>
      </c>
      <c r="S25" s="54">
        <f>SUM(C25,G25,K25-O25)</f>
        <v>0</v>
      </c>
      <c r="T25" s="54">
        <f>SUM(D25,H25,L25-P25)</f>
        <v>0</v>
      </c>
      <c r="U25" s="55">
        <f>SUM(R25:T25)</f>
        <v>0</v>
      </c>
      <c r="V25" s="54"/>
      <c r="W25" s="54"/>
      <c r="X25" s="54"/>
      <c r="Y25" s="55">
        <f>SUM(V25:X25)</f>
        <v>0</v>
      </c>
    </row>
    <row r="26" spans="1:25">
      <c r="A26" s="53" t="s">
        <v>763</v>
      </c>
      <c r="B26" s="54"/>
      <c r="C26" s="54"/>
      <c r="D26" s="54"/>
      <c r="E26" s="55">
        <f>SUM(B26:D26)</f>
        <v>0</v>
      </c>
      <c r="F26" s="54"/>
      <c r="G26" s="54"/>
      <c r="H26" s="54"/>
      <c r="I26" s="55">
        <f>SUM(F26:H26)</f>
        <v>0</v>
      </c>
      <c r="J26" s="54"/>
      <c r="K26" s="54"/>
      <c r="L26" s="54"/>
      <c r="M26" s="55">
        <f>SUM(J26:L26)</f>
        <v>0</v>
      </c>
      <c r="N26" s="54"/>
      <c r="O26" s="54"/>
      <c r="P26" s="54"/>
      <c r="Q26" s="55">
        <f>SUM(N26:P26)</f>
        <v>0</v>
      </c>
      <c r="R26" s="54">
        <f>SUM(B26,F26,J26-N26)</f>
        <v>0</v>
      </c>
      <c r="S26" s="54">
        <f>SUM(C26,G26,K26-O26)</f>
        <v>0</v>
      </c>
      <c r="T26" s="54">
        <f>SUM(D26,H26,L26-P26)</f>
        <v>0</v>
      </c>
      <c r="U26" s="55">
        <f>SUM(R26:T26)</f>
        <v>0</v>
      </c>
      <c r="V26" s="54"/>
      <c r="W26" s="54"/>
      <c r="X26" s="54"/>
      <c r="Y26" s="55">
        <f>SUM(V26:X26)</f>
        <v>0</v>
      </c>
    </row>
    <row r="27" spans="1:25">
      <c r="A27" s="53" t="s">
        <v>764</v>
      </c>
      <c r="B27" s="54"/>
      <c r="C27" s="54"/>
      <c r="D27" s="54"/>
      <c r="E27" s="55">
        <f>SUM(B27:D27)</f>
        <v>0</v>
      </c>
      <c r="F27" s="54"/>
      <c r="G27" s="54"/>
      <c r="H27" s="54"/>
      <c r="I27" s="55">
        <f>SUM(F27:H27)</f>
        <v>0</v>
      </c>
      <c r="J27" s="54"/>
      <c r="K27" s="54"/>
      <c r="L27" s="54"/>
      <c r="M27" s="55">
        <f>SUM(J27:L27)</f>
        <v>0</v>
      </c>
      <c r="N27" s="54"/>
      <c r="O27" s="54"/>
      <c r="P27" s="54"/>
      <c r="Q27" s="55">
        <f>SUM(N27:P27)</f>
        <v>0</v>
      </c>
      <c r="R27" s="54">
        <f>SUM(B27,F27,J27-N27)</f>
        <v>0</v>
      </c>
      <c r="S27" s="54">
        <f>SUM(C27,G27,K27-O27)</f>
        <v>0</v>
      </c>
      <c r="T27" s="54">
        <f>SUM(D27,H27,L27-P27)</f>
        <v>0</v>
      </c>
      <c r="U27" s="55">
        <f>SUM(R27:T27)</f>
        <v>0</v>
      </c>
      <c r="V27" s="54"/>
      <c r="W27" s="54"/>
      <c r="X27" s="54"/>
      <c r="Y27" s="55">
        <f>SUM(V27:X27)</f>
        <v>0</v>
      </c>
    </row>
    <row r="28" spans="1:25">
      <c r="A28" s="53" t="s">
        <v>765</v>
      </c>
      <c r="B28" s="54"/>
      <c r="C28" s="54"/>
      <c r="D28" s="54"/>
      <c r="E28" s="55">
        <f>SUM(B28:D28)</f>
        <v>0</v>
      </c>
      <c r="F28" s="54"/>
      <c r="G28" s="54"/>
      <c r="H28" s="54"/>
      <c r="I28" s="55">
        <f>SUM(F28:H28)</f>
        <v>0</v>
      </c>
      <c r="J28" s="54"/>
      <c r="K28" s="54"/>
      <c r="L28" s="54"/>
      <c r="M28" s="55">
        <f>SUM(J28:L28)</f>
        <v>0</v>
      </c>
      <c r="N28" s="54"/>
      <c r="O28" s="54"/>
      <c r="P28" s="54"/>
      <c r="Q28" s="55">
        <f>SUM(N28:P28)</f>
        <v>0</v>
      </c>
      <c r="R28" s="54">
        <f>SUM(B28,F28,J28-N28)</f>
        <v>0</v>
      </c>
      <c r="S28" s="54">
        <f>SUM(C28,G28,K28-O28)</f>
        <v>0</v>
      </c>
      <c r="T28" s="54">
        <f>SUM(D28,H28,L28-P28)</f>
        <v>0</v>
      </c>
      <c r="U28" s="55">
        <f>SUM(R28:T28)</f>
        <v>0</v>
      </c>
      <c r="V28" s="54"/>
      <c r="W28" s="54"/>
      <c r="X28" s="54"/>
      <c r="Y28" s="55">
        <f>SUM(V28:X28)</f>
        <v>0</v>
      </c>
    </row>
    <row r="29" spans="1:25">
      <c r="A29" s="53" t="s">
        <v>766</v>
      </c>
      <c r="B29" s="54"/>
      <c r="C29" s="54"/>
      <c r="D29" s="54"/>
      <c r="E29" s="55">
        <f>SUM(B29:D29)</f>
        <v>0</v>
      </c>
      <c r="F29" s="54"/>
      <c r="G29" s="54"/>
      <c r="H29" s="54"/>
      <c r="I29" s="55">
        <f>SUM(F29:H29)</f>
        <v>0</v>
      </c>
      <c r="J29" s="54"/>
      <c r="K29" s="54"/>
      <c r="L29" s="54"/>
      <c r="M29" s="55">
        <f>SUM(J29:L29)</f>
        <v>0</v>
      </c>
      <c r="N29" s="54"/>
      <c r="O29" s="54"/>
      <c r="P29" s="54"/>
      <c r="Q29" s="55">
        <f>SUM(N29:P29)</f>
        <v>0</v>
      </c>
      <c r="R29" s="54">
        <f>SUM(B29,F29,J29-N29)</f>
        <v>0</v>
      </c>
      <c r="S29" s="54">
        <f>SUM(C29,G29,K29-O29)</f>
        <v>0</v>
      </c>
      <c r="T29" s="54">
        <f>SUM(D29,H29,L29-P29)</f>
        <v>0</v>
      </c>
      <c r="U29" s="55">
        <f>SUM(R29:T29)</f>
        <v>0</v>
      </c>
      <c r="V29" s="54"/>
      <c r="W29" s="54"/>
      <c r="X29" s="54"/>
      <c r="Y29" s="55">
        <f>SUM(V29:X29)</f>
        <v>0</v>
      </c>
    </row>
    <row r="30" spans="1:25">
      <c r="A30" s="53" t="s">
        <v>767</v>
      </c>
      <c r="B30" s="54"/>
      <c r="C30" s="54"/>
      <c r="D30" s="54"/>
      <c r="E30" s="55">
        <f>SUM(B30:D30)</f>
        <v>0</v>
      </c>
      <c r="F30" s="54"/>
      <c r="G30" s="54"/>
      <c r="H30" s="54"/>
      <c r="I30" s="55">
        <f>SUM(F30:H30)</f>
        <v>0</v>
      </c>
      <c r="J30" s="54"/>
      <c r="K30" s="54"/>
      <c r="L30" s="54"/>
      <c r="M30" s="55">
        <f>SUM(J30:L30)</f>
        <v>0</v>
      </c>
      <c r="N30" s="54"/>
      <c r="O30" s="54"/>
      <c r="P30" s="54"/>
      <c r="Q30" s="55">
        <f>SUM(N30:P30)</f>
        <v>0</v>
      </c>
      <c r="R30" s="54">
        <f>SUM(B30,F30,J30-N30)</f>
        <v>0</v>
      </c>
      <c r="S30" s="54">
        <f>SUM(C30,G30,K30-O30)</f>
        <v>0</v>
      </c>
      <c r="T30" s="54">
        <f>SUM(D30,H30,L30-P30)</f>
        <v>0</v>
      </c>
      <c r="U30" s="55">
        <f>SUM(R30:T30)</f>
        <v>0</v>
      </c>
      <c r="V30" s="54"/>
      <c r="W30" s="54"/>
      <c r="X30" s="54"/>
      <c r="Y30" s="55">
        <f>SUM(V30:X30)</f>
        <v>0</v>
      </c>
    </row>
    <row r="31" spans="1:25">
      <c r="A31" s="53" t="s">
        <v>768</v>
      </c>
      <c r="B31" s="54"/>
      <c r="C31" s="54"/>
      <c r="D31" s="54"/>
      <c r="E31" s="55">
        <f>SUM(B31:D31)</f>
        <v>0</v>
      </c>
      <c r="F31" s="54"/>
      <c r="G31" s="54"/>
      <c r="H31" s="54"/>
      <c r="I31" s="55">
        <f>SUM(F31:H31)</f>
        <v>0</v>
      </c>
      <c r="J31" s="54"/>
      <c r="K31" s="54"/>
      <c r="L31" s="54"/>
      <c r="M31" s="55">
        <f>SUM(J31:L31)</f>
        <v>0</v>
      </c>
      <c r="N31" s="54"/>
      <c r="O31" s="54"/>
      <c r="P31" s="54"/>
      <c r="Q31" s="55">
        <f>SUM(N31:P31)</f>
        <v>0</v>
      </c>
      <c r="R31" s="54">
        <f>SUM(B31,F31,J31-N31)</f>
        <v>0</v>
      </c>
      <c r="S31" s="54">
        <f>SUM(C31,G31,K31-O31)</f>
        <v>0</v>
      </c>
      <c r="T31" s="54">
        <f>SUM(D31,H31,L31-P31)</f>
        <v>0</v>
      </c>
      <c r="U31" s="55">
        <f>SUM(R31:T31)</f>
        <v>0</v>
      </c>
      <c r="V31" s="54"/>
      <c r="W31" s="54"/>
      <c r="X31" s="54"/>
      <c r="Y31" s="55">
        <f>SUM(V31:X31)</f>
        <v>0</v>
      </c>
    </row>
    <row r="32" spans="1:25">
      <c r="A32" s="53" t="s">
        <v>769</v>
      </c>
      <c r="B32" s="54"/>
      <c r="C32" s="54"/>
      <c r="D32" s="54"/>
      <c r="E32" s="55">
        <f>SUM(B32:D32)</f>
        <v>0</v>
      </c>
      <c r="F32" s="54"/>
      <c r="G32" s="54"/>
      <c r="H32" s="54"/>
      <c r="I32" s="55">
        <f>SUM(F32:H32)</f>
        <v>0</v>
      </c>
      <c r="J32" s="54"/>
      <c r="K32" s="54"/>
      <c r="L32" s="54"/>
      <c r="M32" s="55">
        <f>SUM(J32:L32)</f>
        <v>0</v>
      </c>
      <c r="N32" s="54"/>
      <c r="O32" s="54"/>
      <c r="P32" s="54"/>
      <c r="Q32" s="55">
        <f>SUM(N32:P32)</f>
        <v>0</v>
      </c>
      <c r="R32" s="54">
        <f>SUM(B32,F32,J32-N32)</f>
        <v>0</v>
      </c>
      <c r="S32" s="54">
        <f>SUM(C32,G32,K32-O32)</f>
        <v>0</v>
      </c>
      <c r="T32" s="54">
        <f>SUM(D32,H32,L32-P32)</f>
        <v>0</v>
      </c>
      <c r="U32" s="55">
        <f>SUM(R32:T32)</f>
        <v>0</v>
      </c>
      <c r="V32" s="54"/>
      <c r="W32" s="54"/>
      <c r="X32" s="54"/>
      <c r="Y32" s="55">
        <f>SUM(V32:X32)</f>
        <v>0</v>
      </c>
    </row>
    <row r="33" spans="1:25">
      <c r="A33" s="53" t="s">
        <v>770</v>
      </c>
      <c r="B33" s="54"/>
      <c r="C33" s="54"/>
      <c r="D33" s="54"/>
      <c r="E33" s="55">
        <f>SUM(B33:D33)</f>
        <v>0</v>
      </c>
      <c r="F33" s="54"/>
      <c r="G33" s="54"/>
      <c r="H33" s="54"/>
      <c r="I33" s="55">
        <f>SUM(F33:H33)</f>
        <v>0</v>
      </c>
      <c r="J33" s="54"/>
      <c r="K33" s="54"/>
      <c r="L33" s="54"/>
      <c r="M33" s="55">
        <f>SUM(J33:L33)</f>
        <v>0</v>
      </c>
      <c r="N33" s="54"/>
      <c r="O33" s="54"/>
      <c r="P33" s="54"/>
      <c r="Q33" s="55">
        <f>SUM(N33:P33)</f>
        <v>0</v>
      </c>
      <c r="R33" s="54">
        <f>SUM(B33,F33,J33-N33)</f>
        <v>0</v>
      </c>
      <c r="S33" s="54">
        <f>SUM(C33,G33,K33-O33)</f>
        <v>0</v>
      </c>
      <c r="T33" s="54">
        <f>SUM(D33,H33,L33-P33)</f>
        <v>0</v>
      </c>
      <c r="U33" s="55">
        <f>SUM(R33:T33)</f>
        <v>0</v>
      </c>
      <c r="V33" s="54"/>
      <c r="W33" s="54"/>
      <c r="X33" s="54"/>
      <c r="Y33" s="55">
        <f>SUM(V33:X33)</f>
        <v>0</v>
      </c>
    </row>
    <row r="34" spans="1:25">
      <c r="A34" s="56" t="s">
        <v>771</v>
      </c>
      <c r="B34" s="55">
        <f>SUM(B16,B17,B18,B20,B21,B22,B23,B26,B29,B33)</f>
        <v>0</v>
      </c>
      <c r="C34" s="55">
        <f>SUM(C16,C17,C18,C20,C21,C22,C23,C26,C29,C33)</f>
        <v>0</v>
      </c>
      <c r="D34" s="55">
        <f>SUM(D16,D17,D18,D20,D21,D22,D23,D26,D29,D33)</f>
        <v>0</v>
      </c>
      <c r="E34" s="55">
        <f>SUM(E16,E17,E18,E20,E21,E22,E23,E26,E29,E33)</f>
        <v>0</v>
      </c>
      <c r="F34" s="55">
        <f>SUM(F16,F17,F18,F20,F21,F22,F23,F26,F29,F33)</f>
        <v>0</v>
      </c>
      <c r="G34" s="55">
        <f>SUM(G16,G17,G18,G20,G21,G22,G23,G26,G29,G33)</f>
        <v>0</v>
      </c>
      <c r="H34" s="55">
        <f>SUM(H16,H17,H18,H20,H21,H22,H23,H26,H29,H33)</f>
        <v>0</v>
      </c>
      <c r="I34" s="55">
        <f>SUM(I16,I17,I18,I20,I21,I22,I23,I26,I29,I33)</f>
        <v>0</v>
      </c>
      <c r="J34" s="55">
        <f>SUM(J16,J17,J18,J20,J21,J22,J23,J26,J29,J33)</f>
        <v>0</v>
      </c>
      <c r="K34" s="55">
        <f>SUM(K16,K17,K18,K20,K21,K22,K23,K26,K29,K33)</f>
        <v>0</v>
      </c>
      <c r="L34" s="55">
        <f>SUM(L16,L17,L18,L20,L21,L22,L23,L26,L29,L33)</f>
        <v>0</v>
      </c>
      <c r="M34" s="55">
        <f>SUM(M16,M17,M18,M20,M21,M22,M23,M26,M29,M33)</f>
        <v>0</v>
      </c>
      <c r="N34" s="55">
        <f>SUM(N16,N17,N18,N20,N21,N22,N23,N26,N29,N33)</f>
        <v>0</v>
      </c>
      <c r="O34" s="55">
        <f>SUM(O16,O17,O18,O20,O21,O22,O23,O26,O29,O33)</f>
        <v>0</v>
      </c>
      <c r="P34" s="55">
        <f>SUM(P16,P17,P18,P20,P21,P22,P23,P26,P29,P33)</f>
        <v>0</v>
      </c>
      <c r="Q34" s="55">
        <f>SUM(Q16,Q17,Q18,Q20,Q21,Q22,Q23,Q26,Q29,Q33)</f>
        <v>0</v>
      </c>
      <c r="R34" s="55">
        <f>SUM(R16,R17,R18,R20,R21,R22,R23,R26,R29,R33)</f>
        <v>0</v>
      </c>
      <c r="S34" s="55">
        <f>SUM(S16,S17,S18,S20,S21,S22,S23,S26,S29,S33)</f>
        <v>0</v>
      </c>
      <c r="T34" s="55">
        <f>SUM(T16,T17,T18,T20,T21,T22,T23,T26,T29,T33)</f>
        <v>0</v>
      </c>
      <c r="U34" s="55">
        <f>SUM(U16,U17,U18,U20,U21,U22,U23,U26,U29,U33)</f>
        <v>0</v>
      </c>
      <c r="V34" s="55">
        <f>SUM(V16,V17,V18,V20,V21,V22,V23,V26,V29,V33)</f>
        <v>0</v>
      </c>
      <c r="W34" s="55">
        <f>SUM(W16,W17,W18,W20,W21,W22,W23,W26,W29,W33)</f>
        <v>0</v>
      </c>
      <c r="X34" s="55">
        <f>SUM(X16,X17,X18,X20,X21,X22,X23,X26,X29,X33)</f>
        <v>0</v>
      </c>
      <c r="Y34" s="55">
        <f>SUM(Y16,Y17,Y18,Y20,Y21,Y22,Y23,Y26,Y29,Y33)</f>
        <v>0</v>
      </c>
    </row>
    <row r="35" spans="1:25">
      <c r="A35" s="162" t="s">
        <v>772</v>
      </c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2"/>
    </row>
    <row r="36" spans="1:25">
      <c r="A36" s="148" t="s">
        <v>773</v>
      </c>
      <c r="B36" s="133" t="s">
        <v>734</v>
      </c>
      <c r="C36" s="134"/>
      <c r="D36" s="135"/>
      <c r="E36" s="127" t="s">
        <v>749</v>
      </c>
      <c r="F36" s="129"/>
      <c r="G36" s="152" t="s">
        <v>736</v>
      </c>
      <c r="H36" s="128"/>
      <c r="I36" s="128"/>
      <c r="J36" s="128"/>
      <c r="K36" s="129"/>
      <c r="L36" s="152" t="s">
        <v>773</v>
      </c>
      <c r="M36" s="128"/>
      <c r="N36" s="128"/>
      <c r="O36" s="128"/>
      <c r="P36" s="129"/>
      <c r="Q36" s="133" t="s">
        <v>734</v>
      </c>
      <c r="R36" s="134"/>
      <c r="S36" s="135"/>
      <c r="T36" s="127" t="s">
        <v>749</v>
      </c>
      <c r="U36" s="129"/>
      <c r="V36" s="152" t="s">
        <v>736</v>
      </c>
      <c r="W36" s="128"/>
      <c r="X36" s="128"/>
      <c r="Y36" s="129"/>
    </row>
    <row r="37" spans="1:25">
      <c r="A37" s="137"/>
      <c r="B37" s="62" t="s">
        <v>750</v>
      </c>
      <c r="C37" s="63" t="s">
        <v>751</v>
      </c>
      <c r="D37" s="63" t="s">
        <v>752</v>
      </c>
      <c r="E37" s="130"/>
      <c r="F37" s="132"/>
      <c r="G37" s="130"/>
      <c r="H37" s="131"/>
      <c r="I37" s="131"/>
      <c r="J37" s="131"/>
      <c r="K37" s="132"/>
      <c r="L37" s="130"/>
      <c r="M37" s="131"/>
      <c r="N37" s="131"/>
      <c r="O37" s="131"/>
      <c r="P37" s="132"/>
      <c r="Q37" s="62" t="s">
        <v>750</v>
      </c>
      <c r="R37" s="63" t="s">
        <v>751</v>
      </c>
      <c r="S37" s="63" t="s">
        <v>752</v>
      </c>
      <c r="T37" s="130"/>
      <c r="U37" s="132"/>
      <c r="V37" s="130"/>
      <c r="W37" s="131"/>
      <c r="X37" s="131"/>
      <c r="Y37" s="132"/>
    </row>
    <row r="38" spans="1:25">
      <c r="A38" s="153" t="s">
        <v>774</v>
      </c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5"/>
    </row>
    <row r="39" spans="1:25" customHeight="1" ht="36">
      <c r="A39" s="65" t="s">
        <v>775</v>
      </c>
      <c r="B39" s="66"/>
      <c r="C39" s="66"/>
      <c r="D39" s="66"/>
      <c r="E39" s="156">
        <f>SUM(B39:D39)</f>
        <v>0</v>
      </c>
      <c r="F39" s="157"/>
      <c r="G39" s="158"/>
      <c r="H39" s="159"/>
      <c r="I39" s="159"/>
      <c r="J39" s="159"/>
      <c r="K39" s="157"/>
      <c r="L39" s="160" t="s">
        <v>776</v>
      </c>
      <c r="M39" s="159"/>
      <c r="N39" s="159"/>
      <c r="O39" s="159"/>
      <c r="P39" s="157"/>
      <c r="Q39" s="66"/>
      <c r="R39" s="66"/>
      <c r="S39" s="66"/>
      <c r="T39" s="161">
        <f>SUM(Q39:S39)</f>
        <v>0</v>
      </c>
      <c r="U39" s="157"/>
      <c r="V39" s="158"/>
      <c r="W39" s="159"/>
      <c r="X39" s="159"/>
      <c r="Y39" s="157"/>
    </row>
    <row r="40" spans="1:25" customHeight="1" ht="36">
      <c r="A40" s="68" t="s">
        <v>777</v>
      </c>
      <c r="B40" s="69">
        <f>SUM(B41:B42)</f>
        <v>0</v>
      </c>
      <c r="C40" s="69">
        <f>SUM(C41:C42)</f>
        <v>0</v>
      </c>
      <c r="D40" s="69">
        <f>SUM(D41:D42)</f>
        <v>0</v>
      </c>
      <c r="E40" s="161">
        <f>SUM(B40:D40)</f>
        <v>0</v>
      </c>
      <c r="F40" s="157"/>
      <c r="G40" s="158"/>
      <c r="H40" s="159"/>
      <c r="I40" s="159"/>
      <c r="J40" s="159"/>
      <c r="K40" s="157"/>
      <c r="L40" s="160" t="s">
        <v>778</v>
      </c>
      <c r="M40" s="159"/>
      <c r="N40" s="159"/>
      <c r="O40" s="159"/>
      <c r="P40" s="157"/>
      <c r="Q40" s="66"/>
      <c r="R40" s="66"/>
      <c r="S40" s="66"/>
      <c r="T40" s="161">
        <f>SUM(Q40:S40)</f>
        <v>0</v>
      </c>
      <c r="U40" s="157"/>
      <c r="V40" s="158"/>
      <c r="W40" s="159"/>
      <c r="X40" s="159"/>
      <c r="Y40" s="157"/>
    </row>
    <row r="41" spans="1:25" customHeight="1" ht="36">
      <c r="A41" s="70" t="s">
        <v>779</v>
      </c>
      <c r="B41" s="66"/>
      <c r="C41" s="66"/>
      <c r="D41" s="66"/>
      <c r="E41" s="161">
        <f>SUM(B41:D41)</f>
        <v>0</v>
      </c>
      <c r="F41" s="157"/>
      <c r="G41" s="158"/>
      <c r="H41" s="159"/>
      <c r="I41" s="159"/>
      <c r="J41" s="159"/>
      <c r="K41" s="157"/>
      <c r="L41" s="160" t="s">
        <v>780</v>
      </c>
      <c r="M41" s="159"/>
      <c r="N41" s="159"/>
      <c r="O41" s="159"/>
      <c r="P41" s="157"/>
      <c r="Q41" s="66"/>
      <c r="R41" s="66"/>
      <c r="S41" s="66"/>
      <c r="T41" s="161">
        <f>SUM(Q41:S41)</f>
        <v>0</v>
      </c>
      <c r="U41" s="157"/>
      <c r="V41" s="158"/>
      <c r="W41" s="159"/>
      <c r="X41" s="159"/>
      <c r="Y41" s="157"/>
    </row>
    <row r="42" spans="1:25" customHeight="1" ht="36">
      <c r="A42" s="70" t="s">
        <v>781</v>
      </c>
      <c r="B42" s="66"/>
      <c r="C42" s="66"/>
      <c r="D42" s="66"/>
      <c r="E42" s="161">
        <f>SUM(B42:D42)</f>
        <v>0</v>
      </c>
      <c r="F42" s="157"/>
      <c r="G42" s="158"/>
      <c r="H42" s="159"/>
      <c r="I42" s="159"/>
      <c r="J42" s="159"/>
      <c r="K42" s="157"/>
      <c r="L42" s="160" t="s">
        <v>782</v>
      </c>
      <c r="M42" s="159"/>
      <c r="N42" s="159"/>
      <c r="O42" s="159"/>
      <c r="P42" s="157"/>
      <c r="Q42" s="66"/>
      <c r="R42" s="66"/>
      <c r="S42" s="66"/>
      <c r="T42" s="161">
        <f>SUM(Q42:S42)</f>
        <v>0</v>
      </c>
      <c r="U42" s="157"/>
      <c r="V42" s="158"/>
      <c r="W42" s="159"/>
      <c r="X42" s="159"/>
      <c r="Y42" s="157"/>
    </row>
    <row r="43" spans="1:25" customHeight="1" ht="36">
      <c r="A43" s="68" t="s">
        <v>783</v>
      </c>
      <c r="B43" s="69">
        <f>SUM(B44:B45)-B46</f>
        <v>0</v>
      </c>
      <c r="C43" s="69">
        <f>SUM(C44:C45)-C46</f>
        <v>0</v>
      </c>
      <c r="D43" s="69">
        <f>SUM(D44:D45)-D46</f>
        <v>0</v>
      </c>
      <c r="E43" s="161">
        <f>SUM(B43:D43)</f>
        <v>0</v>
      </c>
      <c r="F43" s="157"/>
      <c r="G43" s="158"/>
      <c r="H43" s="159"/>
      <c r="I43" s="159"/>
      <c r="J43" s="159"/>
      <c r="K43" s="157"/>
      <c r="L43" s="160" t="s">
        <v>784</v>
      </c>
      <c r="M43" s="159"/>
      <c r="N43" s="159"/>
      <c r="O43" s="159"/>
      <c r="P43" s="157"/>
      <c r="Q43" s="66"/>
      <c r="R43" s="66"/>
      <c r="S43" s="66"/>
      <c r="T43" s="161">
        <f>SUM(Q43:S43)</f>
        <v>0</v>
      </c>
      <c r="U43" s="157"/>
      <c r="V43" s="158"/>
      <c r="W43" s="159"/>
      <c r="X43" s="159"/>
      <c r="Y43" s="157"/>
    </row>
    <row r="44" spans="1:25" customHeight="1" ht="36">
      <c r="A44" s="70" t="s">
        <v>785</v>
      </c>
      <c r="B44" s="66"/>
      <c r="C44" s="66"/>
      <c r="D44" s="66"/>
      <c r="E44" s="161">
        <f>SUM(B44:D44)</f>
        <v>0</v>
      </c>
      <c r="F44" s="157"/>
      <c r="G44" s="158"/>
      <c r="H44" s="159"/>
      <c r="I44" s="159"/>
      <c r="J44" s="159"/>
      <c r="K44" s="157"/>
      <c r="L44" s="160" t="s">
        <v>786</v>
      </c>
      <c r="M44" s="159"/>
      <c r="N44" s="159"/>
      <c r="O44" s="159"/>
      <c r="P44" s="157"/>
      <c r="Q44" s="66"/>
      <c r="R44" s="66"/>
      <c r="S44" s="66"/>
      <c r="T44" s="161">
        <f>SUM(Q44:S44)</f>
        <v>0</v>
      </c>
      <c r="U44" s="157"/>
      <c r="V44" s="158"/>
      <c r="W44" s="159"/>
      <c r="X44" s="159"/>
      <c r="Y44" s="157"/>
    </row>
    <row r="45" spans="1:25" customHeight="1" ht="24">
      <c r="A45" s="70" t="s">
        <v>787</v>
      </c>
      <c r="B45" s="66"/>
      <c r="C45" s="66"/>
      <c r="D45" s="66"/>
      <c r="E45" s="161">
        <f>SUM(B45:D45)</f>
        <v>0</v>
      </c>
      <c r="F45" s="157"/>
      <c r="G45" s="158"/>
      <c r="H45" s="159"/>
      <c r="I45" s="159"/>
      <c r="J45" s="159"/>
      <c r="K45" s="157"/>
      <c r="L45" s="160" t="s">
        <v>788</v>
      </c>
      <c r="M45" s="159"/>
      <c r="N45" s="159"/>
      <c r="O45" s="159"/>
      <c r="P45" s="157"/>
      <c r="Q45" s="66"/>
      <c r="R45" s="66"/>
      <c r="S45" s="66"/>
      <c r="T45" s="161">
        <f>SUM(Q45:S45)</f>
        <v>0</v>
      </c>
      <c r="U45" s="157"/>
      <c r="V45" s="158"/>
      <c r="W45" s="159"/>
      <c r="X45" s="159"/>
      <c r="Y45" s="157"/>
    </row>
    <row r="46" spans="1:25" customHeight="1" ht="24">
      <c r="A46" s="70" t="s">
        <v>789</v>
      </c>
      <c r="B46" s="66"/>
      <c r="C46" s="66"/>
      <c r="D46" s="66"/>
      <c r="E46" s="161">
        <f>SUM(B46:D46)</f>
        <v>0</v>
      </c>
      <c r="F46" s="157"/>
      <c r="G46" s="158"/>
      <c r="H46" s="159"/>
      <c r="I46" s="159"/>
      <c r="J46" s="159"/>
      <c r="K46" s="157"/>
      <c r="L46" s="160" t="s">
        <v>790</v>
      </c>
      <c r="M46" s="159"/>
      <c r="N46" s="159"/>
      <c r="O46" s="159"/>
      <c r="P46" s="157"/>
      <c r="Q46" s="66"/>
      <c r="R46" s="66"/>
      <c r="S46" s="66"/>
      <c r="T46" s="161">
        <f>SUM(Q46:S46)</f>
        <v>0</v>
      </c>
      <c r="U46" s="157"/>
      <c r="V46" s="158"/>
      <c r="W46" s="159"/>
      <c r="X46" s="159"/>
      <c r="Y46" s="157"/>
    </row>
    <row r="47" spans="1:25" customHeight="1" ht="36">
      <c r="A47" s="70" t="s">
        <v>791</v>
      </c>
      <c r="B47" s="66"/>
      <c r="C47" s="66"/>
      <c r="D47" s="66"/>
      <c r="E47" s="161">
        <f>SUM(B47:D47)</f>
        <v>0</v>
      </c>
      <c r="F47" s="157"/>
      <c r="G47" s="158"/>
      <c r="H47" s="159"/>
      <c r="I47" s="159"/>
      <c r="J47" s="159"/>
      <c r="K47" s="157"/>
      <c r="L47" s="160" t="s">
        <v>792</v>
      </c>
      <c r="M47" s="159"/>
      <c r="N47" s="159"/>
      <c r="O47" s="159"/>
      <c r="P47" s="157"/>
      <c r="Q47" s="66"/>
      <c r="R47" s="66"/>
      <c r="S47" s="66"/>
      <c r="T47" s="161">
        <f>SUM(Q47:S47)</f>
        <v>0</v>
      </c>
      <c r="U47" s="157"/>
      <c r="V47" s="158"/>
      <c r="W47" s="159"/>
      <c r="X47" s="159"/>
      <c r="Y47" s="157"/>
    </row>
    <row r="48" spans="1:25" customHeight="1" ht="36">
      <c r="A48" s="70" t="s">
        <v>793</v>
      </c>
      <c r="B48" s="66"/>
      <c r="C48" s="66"/>
      <c r="D48" s="66"/>
      <c r="E48" s="161">
        <f>SUM(B48:D48)</f>
        <v>0</v>
      </c>
      <c r="F48" s="157"/>
      <c r="G48" s="158"/>
      <c r="H48" s="159"/>
      <c r="I48" s="159"/>
      <c r="J48" s="159"/>
      <c r="K48" s="157"/>
      <c r="L48" s="160" t="s">
        <v>794</v>
      </c>
      <c r="M48" s="159"/>
      <c r="N48" s="159"/>
      <c r="O48" s="159"/>
      <c r="P48" s="157"/>
      <c r="Q48" s="66"/>
      <c r="R48" s="66"/>
      <c r="S48" s="66"/>
      <c r="T48" s="161">
        <f>SUM(Q48:S48)</f>
        <v>0</v>
      </c>
      <c r="U48" s="157"/>
      <c r="V48" s="158"/>
      <c r="W48" s="159"/>
      <c r="X48" s="159"/>
      <c r="Y48" s="157"/>
    </row>
    <row r="49" spans="1:25" customHeight="1" ht="36">
      <c r="A49" s="70" t="s">
        <v>795</v>
      </c>
      <c r="B49" s="66"/>
      <c r="C49" s="66"/>
      <c r="D49" s="66"/>
      <c r="E49" s="161">
        <f>SUM(B49:D49)</f>
        <v>0</v>
      </c>
      <c r="F49" s="157"/>
      <c r="G49" s="163"/>
      <c r="H49" s="164"/>
      <c r="I49" s="164"/>
      <c r="J49" s="164"/>
      <c r="K49" s="165"/>
      <c r="L49" s="166" t="s">
        <v>796</v>
      </c>
      <c r="M49" s="164"/>
      <c r="N49" s="164"/>
      <c r="O49" s="164"/>
      <c r="P49" s="165"/>
      <c r="Q49" s="75"/>
      <c r="R49" s="75"/>
      <c r="S49" s="75"/>
      <c r="T49" s="167">
        <f>SUM(Q49:S49)</f>
        <v>0</v>
      </c>
      <c r="U49" s="165"/>
      <c r="V49" s="163"/>
      <c r="W49" s="164"/>
      <c r="X49" s="164"/>
      <c r="Y49" s="165"/>
    </row>
    <row r="50" spans="1:25" customHeight="1" ht="24">
      <c r="A50" s="77" t="s">
        <v>797</v>
      </c>
      <c r="B50" s="75"/>
      <c r="C50" s="75"/>
      <c r="D50" s="75"/>
      <c r="E50" s="76"/>
      <c r="F50" s="73"/>
      <c r="G50" s="71"/>
      <c r="H50" s="72"/>
      <c r="I50" s="72"/>
      <c r="J50" s="72"/>
      <c r="K50" s="73"/>
      <c r="L50" s="74"/>
      <c r="M50" s="72"/>
      <c r="N50" s="72"/>
      <c r="O50" s="72"/>
      <c r="P50" s="72"/>
      <c r="Q50" s="78"/>
      <c r="R50" s="78"/>
      <c r="S50" s="78"/>
      <c r="T50" s="79"/>
      <c r="U50" s="72"/>
      <c r="V50" s="78"/>
      <c r="W50" s="72"/>
      <c r="X50" s="72"/>
      <c r="Y50" s="73"/>
    </row>
    <row r="51" spans="1:25" customHeight="1" ht="48">
      <c r="A51" s="77" t="s">
        <v>798</v>
      </c>
      <c r="B51" s="75"/>
      <c r="C51" s="75"/>
      <c r="D51" s="75"/>
      <c r="E51" s="167">
        <f>SUM(B51:D51)</f>
        <v>0</v>
      </c>
      <c r="F51" s="165"/>
      <c r="G51" s="158"/>
      <c r="H51" s="159"/>
      <c r="I51" s="159"/>
      <c r="J51" s="159"/>
      <c r="K51" s="157"/>
      <c r="L51" s="158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7"/>
    </row>
    <row r="52" spans="1:25">
      <c r="A52" s="80"/>
      <c r="B52" s="62" t="s">
        <v>750</v>
      </c>
      <c r="C52" s="63" t="s">
        <v>751</v>
      </c>
      <c r="D52" s="63" t="s">
        <v>752</v>
      </c>
      <c r="E52" s="81"/>
      <c r="F52" s="82"/>
      <c r="G52" s="81"/>
      <c r="H52" s="83"/>
      <c r="I52" s="83"/>
      <c r="J52" s="83"/>
      <c r="K52" s="82"/>
      <c r="L52" s="81"/>
      <c r="M52" s="83"/>
      <c r="N52" s="83"/>
      <c r="O52" s="83"/>
      <c r="P52" s="82"/>
      <c r="Q52" s="62" t="s">
        <v>750</v>
      </c>
      <c r="R52" s="63" t="s">
        <v>751</v>
      </c>
      <c r="S52" s="63" t="s">
        <v>752</v>
      </c>
      <c r="T52" s="81"/>
      <c r="U52" s="82"/>
      <c r="V52" s="81"/>
      <c r="W52" s="83"/>
      <c r="X52" s="83"/>
      <c r="Y52" s="82"/>
    </row>
    <row r="53" spans="1:25">
      <c r="A53" s="153" t="s">
        <v>799</v>
      </c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5"/>
    </row>
    <row r="54" spans="1:25">
      <c r="A54" s="70" t="s">
        <v>800</v>
      </c>
      <c r="B54" s="84"/>
      <c r="C54" s="84"/>
      <c r="D54" s="84"/>
      <c r="E54" s="161">
        <f>SUM(B54:D54)</f>
        <v>0</v>
      </c>
      <c r="F54" s="157"/>
      <c r="G54" s="158"/>
      <c r="H54" s="159"/>
      <c r="I54" s="159"/>
      <c r="J54" s="159"/>
      <c r="K54" s="157"/>
      <c r="L54" s="168" t="s">
        <v>801</v>
      </c>
      <c r="M54" s="159"/>
      <c r="N54" s="159"/>
      <c r="O54" s="159"/>
      <c r="P54" s="157"/>
      <c r="Q54" s="69">
        <f>SUM(Q55:Q56)</f>
        <v>0</v>
      </c>
      <c r="R54" s="69">
        <f>SUM(R55:R56)</f>
        <v>0</v>
      </c>
      <c r="S54" s="69">
        <f>SUM(S55:S56)</f>
        <v>0</v>
      </c>
      <c r="T54" s="161">
        <f>SUM(Q54:S54)</f>
        <v>0</v>
      </c>
      <c r="U54" s="157"/>
      <c r="V54" s="158"/>
      <c r="W54" s="159"/>
      <c r="X54" s="159"/>
      <c r="Y54" s="157"/>
    </row>
    <row r="55" spans="1:25">
      <c r="A55" s="70" t="s">
        <v>802</v>
      </c>
      <c r="B55" s="86">
        <f>SUM(B56:B58)</f>
        <v>0</v>
      </c>
      <c r="C55" s="86">
        <f>SUM(C56:C58)</f>
        <v>0</v>
      </c>
      <c r="D55" s="86">
        <f>SUM(D56:D58)</f>
        <v>0</v>
      </c>
      <c r="E55" s="161">
        <f>SUM(B55:D55)</f>
        <v>0</v>
      </c>
      <c r="F55" s="157"/>
      <c r="G55" s="158"/>
      <c r="H55" s="159"/>
      <c r="I55" s="159"/>
      <c r="J55" s="159"/>
      <c r="K55" s="157"/>
      <c r="L55" s="158" t="s">
        <v>803</v>
      </c>
      <c r="M55" s="159"/>
      <c r="N55" s="159"/>
      <c r="O55" s="159"/>
      <c r="P55" s="157"/>
      <c r="Q55" s="66"/>
      <c r="R55" s="66"/>
      <c r="S55" s="66"/>
      <c r="T55" s="161">
        <f>SUM(Q55:S55)</f>
        <v>0</v>
      </c>
      <c r="U55" s="157"/>
      <c r="V55" s="158"/>
      <c r="W55" s="159"/>
      <c r="X55" s="159"/>
      <c r="Y55" s="157"/>
    </row>
    <row r="56" spans="1:25">
      <c r="A56" s="70" t="s">
        <v>804</v>
      </c>
      <c r="B56" s="66"/>
      <c r="C56" s="66"/>
      <c r="D56" s="66"/>
      <c r="E56" s="161">
        <f>SUM(B56:D56)</f>
        <v>0</v>
      </c>
      <c r="F56" s="157"/>
      <c r="G56" s="158"/>
      <c r="H56" s="159"/>
      <c r="I56" s="159"/>
      <c r="J56" s="159"/>
      <c r="K56" s="157"/>
      <c r="L56" s="158" t="s">
        <v>805</v>
      </c>
      <c r="M56" s="159"/>
      <c r="N56" s="159"/>
      <c r="O56" s="159"/>
      <c r="P56" s="157"/>
      <c r="Q56" s="66"/>
      <c r="R56" s="66"/>
      <c r="S56" s="66"/>
      <c r="T56" s="161">
        <f>SUM(Q56:S56)</f>
        <v>0</v>
      </c>
      <c r="U56" s="157"/>
      <c r="V56" s="158"/>
      <c r="W56" s="159"/>
      <c r="X56" s="159"/>
      <c r="Y56" s="157"/>
    </row>
    <row r="57" spans="1:25">
      <c r="A57" s="70" t="s">
        <v>806</v>
      </c>
      <c r="B57" s="66"/>
      <c r="C57" s="66"/>
      <c r="D57" s="66"/>
      <c r="E57" s="161">
        <f>SUM(B57:D57)</f>
        <v>0</v>
      </c>
      <c r="F57" s="157"/>
      <c r="G57" s="158"/>
      <c r="H57" s="159"/>
      <c r="I57" s="159"/>
      <c r="J57" s="159"/>
      <c r="K57" s="157"/>
      <c r="L57" s="158" t="s">
        <v>807</v>
      </c>
      <c r="M57" s="159"/>
      <c r="N57" s="159"/>
      <c r="O57" s="159"/>
      <c r="P57" s="157"/>
      <c r="Q57" s="66"/>
      <c r="R57" s="66"/>
      <c r="S57" s="66"/>
      <c r="T57" s="161">
        <f>SUM(Q57:S57)</f>
        <v>0</v>
      </c>
      <c r="U57" s="157"/>
      <c r="V57" s="158"/>
      <c r="W57" s="159"/>
      <c r="X57" s="159"/>
      <c r="Y57" s="157"/>
    </row>
    <row r="58" spans="1:25">
      <c r="A58" s="70" t="s">
        <v>808</v>
      </c>
      <c r="B58" s="66"/>
      <c r="C58" s="66"/>
      <c r="D58" s="66"/>
      <c r="E58" s="161">
        <f>SUM(B58:D58)</f>
        <v>0</v>
      </c>
      <c r="F58" s="157"/>
      <c r="G58" s="158"/>
      <c r="H58" s="159"/>
      <c r="I58" s="159"/>
      <c r="J58" s="159"/>
      <c r="K58" s="157"/>
      <c r="L58" s="158" t="s">
        <v>809</v>
      </c>
      <c r="M58" s="159"/>
      <c r="N58" s="159"/>
      <c r="O58" s="159"/>
      <c r="P58" s="157"/>
      <c r="Q58" s="66"/>
      <c r="R58" s="66"/>
      <c r="S58" s="66"/>
      <c r="T58" s="161">
        <f>SUM(Q58:S58)</f>
        <v>0</v>
      </c>
      <c r="U58" s="157"/>
      <c r="V58" s="158"/>
      <c r="W58" s="159"/>
      <c r="X58" s="159"/>
      <c r="Y58" s="157"/>
    </row>
    <row r="59" spans="1:25">
      <c r="A59" s="169" t="s">
        <v>810</v>
      </c>
      <c r="B59" s="171">
        <f>SUM(B61,B62,B63)</f>
        <v>0</v>
      </c>
      <c r="C59" s="171">
        <f>SUM(C61,C62,C63)</f>
        <v>0</v>
      </c>
      <c r="D59" s="171">
        <f>SUM(D61,D62,D63)</f>
        <v>0</v>
      </c>
      <c r="E59" s="167">
        <f>SUM(B59:D59)</f>
        <v>0</v>
      </c>
      <c r="F59" s="165"/>
      <c r="G59" s="163"/>
      <c r="H59" s="164"/>
      <c r="I59" s="164"/>
      <c r="J59" s="164"/>
      <c r="K59" s="165"/>
      <c r="L59" s="158" t="s">
        <v>811</v>
      </c>
      <c r="M59" s="159"/>
      <c r="N59" s="159"/>
      <c r="O59" s="159"/>
      <c r="P59" s="157"/>
      <c r="Q59" s="66"/>
      <c r="R59" s="66"/>
      <c r="S59" s="66"/>
      <c r="T59" s="161">
        <f>SUM(Q59:S59)</f>
        <v>0</v>
      </c>
      <c r="U59" s="157"/>
      <c r="V59" s="158"/>
      <c r="W59" s="159"/>
      <c r="X59" s="159"/>
      <c r="Y59" s="157"/>
    </row>
    <row r="60" spans="1:25">
      <c r="A60" s="170"/>
      <c r="B60" s="170"/>
      <c r="C60" s="170"/>
      <c r="D60" s="170"/>
      <c r="E60" s="172"/>
      <c r="F60" s="155"/>
      <c r="G60" s="172"/>
      <c r="H60" s="154"/>
      <c r="I60" s="154"/>
      <c r="J60" s="154"/>
      <c r="K60" s="155"/>
      <c r="L60" s="158" t="s">
        <v>812</v>
      </c>
      <c r="M60" s="159"/>
      <c r="N60" s="159"/>
      <c r="O60" s="159"/>
      <c r="P60" s="157"/>
      <c r="Q60" s="66"/>
      <c r="R60" s="66"/>
      <c r="S60" s="66"/>
      <c r="T60" s="161">
        <f>SUM(Q60:S60)</f>
        <v>0</v>
      </c>
      <c r="U60" s="157"/>
      <c r="V60" s="158"/>
      <c r="W60" s="159"/>
      <c r="X60" s="159"/>
      <c r="Y60" s="157"/>
    </row>
    <row r="61" spans="1:25">
      <c r="A61" s="70" t="s">
        <v>813</v>
      </c>
      <c r="B61" s="66"/>
      <c r="C61" s="66"/>
      <c r="D61" s="66"/>
      <c r="E61" s="161">
        <f>SUM(B61:D61)</f>
        <v>0</v>
      </c>
      <c r="F61" s="157"/>
      <c r="G61" s="158"/>
      <c r="H61" s="159"/>
      <c r="I61" s="159"/>
      <c r="J61" s="159"/>
      <c r="K61" s="157"/>
      <c r="L61" s="158" t="s">
        <v>814</v>
      </c>
      <c r="M61" s="159"/>
      <c r="N61" s="159"/>
      <c r="O61" s="159"/>
      <c r="P61" s="157"/>
      <c r="Q61" s="66"/>
      <c r="R61" s="66"/>
      <c r="S61" s="66"/>
      <c r="T61" s="161">
        <f>SUM(Q61:S61)</f>
        <v>0</v>
      </c>
      <c r="U61" s="157"/>
      <c r="V61" s="158"/>
      <c r="W61" s="159"/>
      <c r="X61" s="159"/>
      <c r="Y61" s="157"/>
    </row>
    <row r="62" spans="1:25">
      <c r="A62" s="70" t="s">
        <v>815</v>
      </c>
      <c r="B62" s="66"/>
      <c r="C62" s="66"/>
      <c r="D62" s="66"/>
      <c r="E62" s="161">
        <f>SUM(B62:D62)</f>
        <v>0</v>
      </c>
      <c r="F62" s="157"/>
      <c r="G62" s="158"/>
      <c r="H62" s="159"/>
      <c r="I62" s="159"/>
      <c r="J62" s="159"/>
      <c r="K62" s="157"/>
      <c r="L62" s="158" t="s">
        <v>816</v>
      </c>
      <c r="M62" s="159"/>
      <c r="N62" s="159"/>
      <c r="O62" s="159"/>
      <c r="P62" s="157"/>
      <c r="Q62" s="66"/>
      <c r="R62" s="66"/>
      <c r="S62" s="66"/>
      <c r="T62" s="161">
        <f>SUM(Q62:S62)</f>
        <v>0</v>
      </c>
      <c r="U62" s="157"/>
      <c r="V62" s="158"/>
      <c r="W62" s="159"/>
      <c r="X62" s="159"/>
      <c r="Y62" s="157"/>
    </row>
    <row r="63" spans="1:25">
      <c r="A63" s="77" t="s">
        <v>817</v>
      </c>
      <c r="B63" s="75"/>
      <c r="C63" s="75"/>
      <c r="D63" s="75"/>
      <c r="E63" s="167">
        <f>SUM(B63:D63)</f>
        <v>0</v>
      </c>
      <c r="F63" s="165"/>
      <c r="G63" s="163"/>
      <c r="H63" s="164"/>
      <c r="I63" s="164"/>
      <c r="J63" s="164"/>
      <c r="K63" s="165"/>
      <c r="L63" s="163" t="s">
        <v>818</v>
      </c>
      <c r="M63" s="164"/>
      <c r="N63" s="164"/>
      <c r="O63" s="164"/>
      <c r="P63" s="165"/>
      <c r="Q63" s="75"/>
      <c r="R63" s="75"/>
      <c r="S63" s="75"/>
      <c r="T63" s="167">
        <f>SUM(Q63:S63)</f>
        <v>0</v>
      </c>
      <c r="U63" s="165"/>
      <c r="V63" s="163"/>
      <c r="W63" s="164"/>
      <c r="X63" s="164"/>
      <c r="Y63" s="165"/>
    </row>
    <row r="64" spans="1:25">
      <c r="A64" s="148" t="s">
        <v>773</v>
      </c>
      <c r="B64" s="133" t="s">
        <v>734</v>
      </c>
      <c r="C64" s="134"/>
      <c r="D64" s="135"/>
      <c r="E64" s="127" t="s">
        <v>749</v>
      </c>
      <c r="F64" s="129"/>
      <c r="G64" s="152" t="s">
        <v>736</v>
      </c>
      <c r="H64" s="128"/>
      <c r="I64" s="128"/>
      <c r="J64" s="128"/>
      <c r="K64" s="129"/>
      <c r="L64" s="152" t="s">
        <v>773</v>
      </c>
      <c r="M64" s="128"/>
      <c r="N64" s="128"/>
      <c r="O64" s="128"/>
      <c r="P64" s="129"/>
      <c r="Q64" s="133" t="s">
        <v>734</v>
      </c>
      <c r="R64" s="134"/>
      <c r="S64" s="135"/>
      <c r="T64" s="127" t="s">
        <v>749</v>
      </c>
      <c r="U64" s="129"/>
      <c r="V64" s="152" t="s">
        <v>736</v>
      </c>
      <c r="W64" s="128"/>
      <c r="X64" s="128"/>
      <c r="Y64" s="129"/>
    </row>
    <row r="65" spans="1:25">
      <c r="A65" s="137"/>
      <c r="B65" s="62" t="s">
        <v>750</v>
      </c>
      <c r="C65" s="63" t="s">
        <v>751</v>
      </c>
      <c r="D65" s="63" t="s">
        <v>752</v>
      </c>
      <c r="E65" s="130"/>
      <c r="F65" s="132"/>
      <c r="G65" s="130"/>
      <c r="H65" s="131"/>
      <c r="I65" s="131"/>
      <c r="J65" s="131"/>
      <c r="K65" s="132"/>
      <c r="L65" s="130"/>
      <c r="M65" s="131"/>
      <c r="N65" s="131"/>
      <c r="O65" s="131"/>
      <c r="P65" s="132"/>
      <c r="Q65" s="62" t="s">
        <v>750</v>
      </c>
      <c r="R65" s="63" t="s">
        <v>751</v>
      </c>
      <c r="S65" s="63" t="s">
        <v>752</v>
      </c>
      <c r="T65" s="130"/>
      <c r="U65" s="132"/>
      <c r="V65" s="130"/>
      <c r="W65" s="131"/>
      <c r="X65" s="131"/>
      <c r="Y65" s="132"/>
    </row>
    <row r="66" spans="1:25">
      <c r="A66" s="153" t="s">
        <v>819</v>
      </c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</row>
    <row r="67" spans="1:25" customHeight="1" ht="60">
      <c r="A67" s="70" t="s">
        <v>820</v>
      </c>
      <c r="B67" s="66"/>
      <c r="C67" s="66"/>
      <c r="D67" s="66"/>
      <c r="E67" s="161">
        <f>SUM(B67:D67)</f>
        <v>0</v>
      </c>
      <c r="F67" s="157"/>
      <c r="G67" s="158"/>
      <c r="H67" s="159"/>
      <c r="I67" s="159"/>
      <c r="J67" s="159"/>
      <c r="K67" s="157"/>
      <c r="L67" s="160" t="s">
        <v>821</v>
      </c>
      <c r="M67" s="159"/>
      <c r="N67" s="159"/>
      <c r="O67" s="159"/>
      <c r="P67" s="157"/>
      <c r="Q67" s="66"/>
      <c r="R67" s="66"/>
      <c r="S67" s="66"/>
      <c r="T67" s="161">
        <f>SUM(Q67:S67)</f>
        <v>0</v>
      </c>
      <c r="U67" s="157"/>
      <c r="V67" s="158"/>
      <c r="W67" s="159"/>
      <c r="X67" s="159"/>
      <c r="Y67" s="157"/>
    </row>
    <row r="68" spans="1:25" customHeight="1" ht="36">
      <c r="A68" s="87" t="s">
        <v>822</v>
      </c>
      <c r="B68" s="88">
        <f>SUM(B69:B70)</f>
        <v>0</v>
      </c>
      <c r="C68" s="88">
        <f>SUM(C69:C70)</f>
        <v>0</v>
      </c>
      <c r="D68" s="88">
        <f>SUM(D69:D70)</f>
        <v>0</v>
      </c>
      <c r="E68" s="161">
        <f>SUM(B68:D68)</f>
        <v>0</v>
      </c>
      <c r="F68" s="157"/>
      <c r="G68" s="158"/>
      <c r="H68" s="159"/>
      <c r="I68" s="159"/>
      <c r="J68" s="159"/>
      <c r="K68" s="157"/>
      <c r="L68" s="160" t="s">
        <v>823</v>
      </c>
      <c r="M68" s="159"/>
      <c r="N68" s="159"/>
      <c r="O68" s="159"/>
      <c r="P68" s="157"/>
      <c r="Q68" s="66"/>
      <c r="R68" s="66"/>
      <c r="S68" s="66"/>
      <c r="T68" s="161">
        <f>SUM(Q68:S68)</f>
        <v>0</v>
      </c>
      <c r="U68" s="157"/>
      <c r="V68" s="158"/>
      <c r="W68" s="159"/>
      <c r="X68" s="159"/>
      <c r="Y68" s="157"/>
    </row>
    <row r="69" spans="1:25" customHeight="1" ht="36">
      <c r="A69" s="70" t="s">
        <v>824</v>
      </c>
      <c r="B69" s="66"/>
      <c r="C69" s="66"/>
      <c r="D69" s="66"/>
      <c r="E69" s="161">
        <f>SUM(B69:D69)</f>
        <v>0</v>
      </c>
      <c r="F69" s="157"/>
      <c r="G69" s="158"/>
      <c r="H69" s="159"/>
      <c r="I69" s="159"/>
      <c r="J69" s="159"/>
      <c r="K69" s="157"/>
      <c r="L69" s="173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5"/>
    </row>
    <row r="70" spans="1:25" customHeight="1" ht="36">
      <c r="A70" s="70" t="s">
        <v>825</v>
      </c>
      <c r="B70" s="66"/>
      <c r="C70" s="66"/>
      <c r="D70" s="66"/>
      <c r="E70" s="161">
        <f>SUM(B70:D70)</f>
        <v>0</v>
      </c>
      <c r="F70" s="157"/>
      <c r="G70" s="158"/>
      <c r="H70" s="159"/>
      <c r="I70" s="159"/>
      <c r="J70" s="159"/>
      <c r="K70" s="157"/>
      <c r="L70" s="174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4"/>
    </row>
    <row r="71" spans="1:25" customHeight="1" ht="36">
      <c r="A71" s="68" t="s">
        <v>826</v>
      </c>
      <c r="B71" s="69">
        <f>SUM(B72:B73)-B74</f>
        <v>0</v>
      </c>
      <c r="C71" s="69">
        <f>SUM(C72:C73)-C74</f>
        <v>0</v>
      </c>
      <c r="D71" s="69">
        <f>SUM(D72:D73)-D74</f>
        <v>0</v>
      </c>
      <c r="E71" s="161">
        <f>SUM(B71:D71)</f>
        <v>0</v>
      </c>
      <c r="F71" s="157"/>
      <c r="G71" s="158"/>
      <c r="H71" s="159"/>
      <c r="I71" s="159"/>
      <c r="J71" s="159"/>
      <c r="K71" s="157"/>
      <c r="L71" s="174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4"/>
    </row>
    <row r="72" spans="1:25" customHeight="1" ht="36">
      <c r="A72" s="70" t="s">
        <v>827</v>
      </c>
      <c r="B72" s="66"/>
      <c r="C72" s="66"/>
      <c r="D72" s="66"/>
      <c r="E72" s="161">
        <f>SUM(B72:D72)</f>
        <v>0</v>
      </c>
      <c r="F72" s="157"/>
      <c r="G72" s="158"/>
      <c r="H72" s="159"/>
      <c r="I72" s="159"/>
      <c r="J72" s="159"/>
      <c r="K72" s="157"/>
      <c r="L72" s="174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4"/>
    </row>
    <row r="73" spans="1:25" customHeight="1" ht="24">
      <c r="A73" s="70" t="s">
        <v>787</v>
      </c>
      <c r="B73" s="75"/>
      <c r="C73" s="75"/>
      <c r="D73" s="75"/>
      <c r="E73" s="167">
        <f>SUM(B73:D73)</f>
        <v>0</v>
      </c>
      <c r="F73" s="165"/>
      <c r="G73" s="163"/>
      <c r="H73" s="164"/>
      <c r="I73" s="164"/>
      <c r="J73" s="164"/>
      <c r="K73" s="165"/>
      <c r="L73" s="174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4"/>
    </row>
    <row r="74" spans="1:25" customHeight="1" ht="24">
      <c r="A74" s="89" t="s">
        <v>828</v>
      </c>
      <c r="B74" s="90"/>
      <c r="C74" s="90"/>
      <c r="D74" s="90"/>
      <c r="E74" s="178">
        <f>SUM(B74:D74)</f>
        <v>0</v>
      </c>
      <c r="F74" s="179"/>
      <c r="G74" s="180"/>
      <c r="H74" s="181"/>
      <c r="I74" s="181"/>
      <c r="J74" s="181"/>
      <c r="K74" s="179"/>
      <c r="L74" s="175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7"/>
    </row>
    <row r="75" spans="1:25">
      <c r="A75" s="142" t="s">
        <v>829</v>
      </c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5"/>
    </row>
    <row r="76" spans="1:25">
      <c r="A76" s="148" t="s">
        <v>773</v>
      </c>
      <c r="B76" s="133" t="s">
        <v>830</v>
      </c>
      <c r="C76" s="134"/>
      <c r="D76" s="135"/>
      <c r="E76" s="127" t="s">
        <v>736</v>
      </c>
      <c r="F76" s="128"/>
      <c r="G76" s="128"/>
      <c r="H76" s="128"/>
      <c r="I76" s="128"/>
      <c r="J76" s="128"/>
      <c r="K76" s="129"/>
      <c r="L76" s="152" t="s">
        <v>773</v>
      </c>
      <c r="M76" s="128"/>
      <c r="N76" s="128"/>
      <c r="O76" s="128"/>
      <c r="P76" s="129"/>
      <c r="Q76" s="133" t="s">
        <v>830</v>
      </c>
      <c r="R76" s="134"/>
      <c r="S76" s="135"/>
      <c r="T76" s="127" t="s">
        <v>736</v>
      </c>
      <c r="U76" s="128"/>
      <c r="V76" s="128"/>
      <c r="W76" s="128"/>
      <c r="X76" s="128"/>
      <c r="Y76" s="129"/>
    </row>
    <row r="77" spans="1:25">
      <c r="A77" s="137"/>
      <c r="B77" s="63" t="s">
        <v>831</v>
      </c>
      <c r="C77" s="63" t="s">
        <v>832</v>
      </c>
      <c r="D77" s="63" t="s">
        <v>833</v>
      </c>
      <c r="E77" s="130"/>
      <c r="F77" s="131"/>
      <c r="G77" s="131"/>
      <c r="H77" s="131"/>
      <c r="I77" s="131"/>
      <c r="J77" s="131"/>
      <c r="K77" s="132"/>
      <c r="L77" s="130"/>
      <c r="M77" s="131"/>
      <c r="N77" s="131"/>
      <c r="O77" s="131"/>
      <c r="P77" s="132"/>
      <c r="Q77" s="63" t="s">
        <v>831</v>
      </c>
      <c r="R77" s="63" t="s">
        <v>832</v>
      </c>
      <c r="S77" s="63" t="s">
        <v>833</v>
      </c>
      <c r="T77" s="130"/>
      <c r="U77" s="131"/>
      <c r="V77" s="131"/>
      <c r="W77" s="131"/>
      <c r="X77" s="131"/>
      <c r="Y77" s="132"/>
    </row>
    <row r="78" spans="1:25">
      <c r="A78" s="153" t="s">
        <v>834</v>
      </c>
      <c r="B78" s="154"/>
      <c r="C78" s="154"/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54"/>
    </row>
    <row r="79" spans="1:25">
      <c r="A79" s="183" t="s">
        <v>835</v>
      </c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</row>
    <row r="80" spans="1:25" customHeight="1" ht="24">
      <c r="A80" s="70" t="s">
        <v>836</v>
      </c>
      <c r="B80" s="66"/>
      <c r="C80" s="66"/>
      <c r="D80" s="88">
        <f>SUM(B80:C80)</f>
        <v>0</v>
      </c>
      <c r="E80" s="158"/>
      <c r="F80" s="159"/>
      <c r="G80" s="159"/>
      <c r="H80" s="159"/>
      <c r="I80" s="159"/>
      <c r="J80" s="159"/>
      <c r="K80" s="157"/>
      <c r="L80" s="184" t="s">
        <v>837</v>
      </c>
      <c r="M80" s="154"/>
      <c r="N80" s="154"/>
      <c r="O80" s="154"/>
      <c r="P80" s="154"/>
      <c r="Q80" s="66"/>
      <c r="R80" s="66"/>
      <c r="S80" s="88">
        <f>SUM(Q80:R80)</f>
        <v>0</v>
      </c>
      <c r="T80" s="158"/>
      <c r="U80" s="159"/>
      <c r="V80" s="159"/>
      <c r="W80" s="159"/>
      <c r="X80" s="159"/>
      <c r="Y80" s="157"/>
    </row>
    <row r="81" spans="1:25">
      <c r="A81" s="70" t="s">
        <v>838</v>
      </c>
      <c r="B81" s="66"/>
      <c r="C81" s="66"/>
      <c r="D81" s="88">
        <f>SUM(B81:C81)</f>
        <v>0</v>
      </c>
      <c r="E81" s="158"/>
      <c r="F81" s="159"/>
      <c r="G81" s="159"/>
      <c r="H81" s="159"/>
      <c r="I81" s="159"/>
      <c r="J81" s="159"/>
      <c r="K81" s="157"/>
      <c r="L81" s="160" t="s">
        <v>839</v>
      </c>
      <c r="M81" s="159"/>
      <c r="N81" s="159"/>
      <c r="O81" s="159"/>
      <c r="P81" s="157"/>
      <c r="Q81" s="66"/>
      <c r="R81" s="66"/>
      <c r="S81" s="88">
        <f>SUM(Q81:R81)</f>
        <v>0</v>
      </c>
      <c r="T81" s="158"/>
      <c r="U81" s="159"/>
      <c r="V81" s="159"/>
      <c r="W81" s="159"/>
      <c r="X81" s="159"/>
      <c r="Y81" s="157"/>
    </row>
    <row r="82" spans="1:25">
      <c r="A82" s="70" t="s">
        <v>840</v>
      </c>
      <c r="B82" s="66"/>
      <c r="C82" s="66"/>
      <c r="D82" s="88">
        <f>SUM(B82:C82)</f>
        <v>0</v>
      </c>
      <c r="E82" s="158"/>
      <c r="F82" s="159"/>
      <c r="G82" s="159"/>
      <c r="H82" s="159"/>
      <c r="I82" s="159"/>
      <c r="J82" s="159"/>
      <c r="K82" s="157"/>
      <c r="L82" s="182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</row>
    <row r="83" spans="1:25">
      <c r="A83" s="148" t="s">
        <v>773</v>
      </c>
      <c r="B83" s="133" t="s">
        <v>830</v>
      </c>
      <c r="C83" s="134"/>
      <c r="D83" s="135"/>
      <c r="E83" s="127" t="s">
        <v>736</v>
      </c>
      <c r="F83" s="128"/>
      <c r="G83" s="128"/>
      <c r="H83" s="128"/>
      <c r="I83" s="128"/>
      <c r="J83" s="128"/>
      <c r="K83" s="129"/>
      <c r="L83" s="152" t="s">
        <v>773</v>
      </c>
      <c r="M83" s="128"/>
      <c r="N83" s="128"/>
      <c r="O83" s="128"/>
      <c r="P83" s="129"/>
      <c r="Q83" s="133" t="s">
        <v>830</v>
      </c>
      <c r="R83" s="134"/>
      <c r="S83" s="135"/>
      <c r="T83" s="127" t="s">
        <v>736</v>
      </c>
      <c r="U83" s="128"/>
      <c r="V83" s="128"/>
      <c r="W83" s="128"/>
      <c r="X83" s="128"/>
      <c r="Y83" s="129"/>
    </row>
    <row r="84" spans="1:25">
      <c r="A84" s="137"/>
      <c r="B84" s="63" t="s">
        <v>831</v>
      </c>
      <c r="C84" s="63" t="s">
        <v>832</v>
      </c>
      <c r="D84" s="63" t="s">
        <v>833</v>
      </c>
      <c r="E84" s="130"/>
      <c r="F84" s="131"/>
      <c r="G84" s="131"/>
      <c r="H84" s="131"/>
      <c r="I84" s="131"/>
      <c r="J84" s="131"/>
      <c r="K84" s="132"/>
      <c r="L84" s="130"/>
      <c r="M84" s="131"/>
      <c r="N84" s="131"/>
      <c r="O84" s="131"/>
      <c r="P84" s="132"/>
      <c r="Q84" s="63" t="s">
        <v>831</v>
      </c>
      <c r="R84" s="63" t="s">
        <v>832</v>
      </c>
      <c r="S84" s="63" t="s">
        <v>833</v>
      </c>
      <c r="T84" s="130"/>
      <c r="U84" s="131"/>
      <c r="V84" s="131"/>
      <c r="W84" s="131"/>
      <c r="X84" s="131"/>
      <c r="Y84" s="132"/>
    </row>
    <row r="85" spans="1:25">
      <c r="A85" s="183" t="s">
        <v>841</v>
      </c>
      <c r="B85" s="154"/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4"/>
      <c r="V85" s="154"/>
      <c r="W85" s="154"/>
      <c r="X85" s="154"/>
      <c r="Y85" s="154"/>
    </row>
    <row r="86" spans="1:25">
      <c r="A86" s="70" t="s">
        <v>842</v>
      </c>
      <c r="B86" s="66"/>
      <c r="C86" s="66"/>
      <c r="D86" s="88">
        <f>SUM(B86:C86)</f>
        <v>0</v>
      </c>
      <c r="E86" s="158"/>
      <c r="F86" s="159"/>
      <c r="G86" s="159"/>
      <c r="H86" s="159"/>
      <c r="I86" s="159"/>
      <c r="J86" s="159"/>
      <c r="K86" s="157"/>
      <c r="L86" s="160" t="s">
        <v>843</v>
      </c>
      <c r="M86" s="159"/>
      <c r="N86" s="159"/>
      <c r="O86" s="159"/>
      <c r="P86" s="157"/>
      <c r="Q86" s="66"/>
      <c r="R86" s="66"/>
      <c r="S86" s="88">
        <f>SUM(Q86:R86)</f>
        <v>0</v>
      </c>
      <c r="T86" s="158"/>
      <c r="U86" s="159"/>
      <c r="V86" s="159"/>
      <c r="W86" s="159"/>
      <c r="X86" s="159"/>
      <c r="Y86" s="157"/>
    </row>
    <row r="87" spans="1:25">
      <c r="A87" s="70" t="s">
        <v>844</v>
      </c>
      <c r="B87" s="66"/>
      <c r="C87" s="66"/>
      <c r="D87" s="88">
        <f>SUM(B87:C87)</f>
        <v>0</v>
      </c>
      <c r="E87" s="158"/>
      <c r="F87" s="159"/>
      <c r="G87" s="159"/>
      <c r="H87" s="159"/>
      <c r="I87" s="159"/>
      <c r="J87" s="159"/>
      <c r="K87" s="157"/>
      <c r="L87" s="160" t="s">
        <v>845</v>
      </c>
      <c r="M87" s="159"/>
      <c r="N87" s="159"/>
      <c r="O87" s="159"/>
      <c r="P87" s="157"/>
      <c r="Q87" s="66"/>
      <c r="R87" s="66"/>
      <c r="S87" s="88">
        <f>SUM(Q87:R87)</f>
        <v>0</v>
      </c>
      <c r="T87" s="158"/>
      <c r="U87" s="159"/>
      <c r="V87" s="159"/>
      <c r="W87" s="159"/>
      <c r="X87" s="159"/>
      <c r="Y87" s="157"/>
    </row>
    <row r="88" spans="1:25">
      <c r="A88" s="70" t="s">
        <v>846</v>
      </c>
      <c r="B88" s="66"/>
      <c r="C88" s="66"/>
      <c r="D88" s="88">
        <f>SUM(B88:C88)</f>
        <v>0</v>
      </c>
      <c r="E88" s="158"/>
      <c r="F88" s="159"/>
      <c r="G88" s="159"/>
      <c r="H88" s="159"/>
      <c r="I88" s="159"/>
      <c r="J88" s="159"/>
      <c r="K88" s="157"/>
      <c r="L88" s="160" t="s">
        <v>847</v>
      </c>
      <c r="M88" s="159"/>
      <c r="N88" s="159"/>
      <c r="O88" s="159"/>
      <c r="P88" s="157"/>
      <c r="Q88" s="66"/>
      <c r="R88" s="66"/>
      <c r="S88" s="88">
        <f>SUM(Q88:R88)</f>
        <v>0</v>
      </c>
      <c r="T88" s="158"/>
      <c r="U88" s="159"/>
      <c r="V88" s="159"/>
      <c r="W88" s="159"/>
      <c r="X88" s="159"/>
      <c r="Y88" s="157"/>
    </row>
    <row r="89" spans="1:25">
      <c r="A89" s="70" t="s">
        <v>848</v>
      </c>
      <c r="B89" s="66"/>
      <c r="C89" s="66"/>
      <c r="D89" s="88">
        <f>SUM(B89:C89)</f>
        <v>0</v>
      </c>
      <c r="E89" s="158"/>
      <c r="F89" s="159"/>
      <c r="G89" s="159"/>
      <c r="H89" s="159"/>
      <c r="I89" s="159"/>
      <c r="J89" s="159"/>
      <c r="K89" s="157"/>
      <c r="L89" s="160" t="s">
        <v>849</v>
      </c>
      <c r="M89" s="159"/>
      <c r="N89" s="159"/>
      <c r="O89" s="159"/>
      <c r="P89" s="157"/>
      <c r="Q89" s="66"/>
      <c r="R89" s="66"/>
      <c r="S89" s="88">
        <f>SUM(Q89:R89)</f>
        <v>0</v>
      </c>
      <c r="T89" s="158"/>
      <c r="U89" s="159"/>
      <c r="V89" s="159"/>
      <c r="W89" s="159"/>
      <c r="X89" s="159"/>
      <c r="Y89" s="157"/>
    </row>
    <row r="90" spans="1:25">
      <c r="A90" s="70" t="s">
        <v>850</v>
      </c>
      <c r="B90" s="66"/>
      <c r="C90" s="66"/>
      <c r="D90" s="88">
        <f>SUM(B90:C90)</f>
        <v>0</v>
      </c>
      <c r="E90" s="158"/>
      <c r="F90" s="159"/>
      <c r="G90" s="159"/>
      <c r="H90" s="159"/>
      <c r="I90" s="159"/>
      <c r="J90" s="159"/>
      <c r="K90" s="157"/>
      <c r="L90" s="160" t="s">
        <v>851</v>
      </c>
      <c r="M90" s="159"/>
      <c r="N90" s="159"/>
      <c r="O90" s="159"/>
      <c r="P90" s="157"/>
      <c r="Q90" s="66"/>
      <c r="R90" s="66"/>
      <c r="S90" s="88">
        <f>SUM(Q90:R90)</f>
        <v>0</v>
      </c>
      <c r="T90" s="158"/>
      <c r="U90" s="159"/>
      <c r="V90" s="159"/>
      <c r="W90" s="159"/>
      <c r="X90" s="159"/>
      <c r="Y90" s="157"/>
    </row>
    <row r="91" spans="1:25">
      <c r="A91" s="70" t="s">
        <v>852</v>
      </c>
      <c r="B91" s="66"/>
      <c r="C91" s="66"/>
      <c r="D91" s="88">
        <f>SUM(B91:C91)</f>
        <v>0</v>
      </c>
      <c r="E91" s="158"/>
      <c r="F91" s="159"/>
      <c r="G91" s="159"/>
      <c r="H91" s="159"/>
      <c r="I91" s="159"/>
      <c r="J91" s="159"/>
      <c r="K91" s="157"/>
      <c r="L91" s="160" t="s">
        <v>853</v>
      </c>
      <c r="M91" s="159"/>
      <c r="N91" s="159"/>
      <c r="O91" s="159"/>
      <c r="P91" s="157"/>
      <c r="Q91" s="66"/>
      <c r="R91" s="66"/>
      <c r="S91" s="88">
        <f>SUM(Q91:R91)</f>
        <v>0</v>
      </c>
      <c r="T91" s="158"/>
      <c r="U91" s="159"/>
      <c r="V91" s="159"/>
      <c r="W91" s="159"/>
      <c r="X91" s="159"/>
      <c r="Y91" s="157"/>
    </row>
    <row r="92" spans="1:25">
      <c r="A92" s="70" t="s">
        <v>854</v>
      </c>
      <c r="B92" s="66"/>
      <c r="C92" s="66"/>
      <c r="D92" s="88">
        <f>SUM(B92:C92)</f>
        <v>0</v>
      </c>
      <c r="E92" s="158"/>
      <c r="F92" s="159"/>
      <c r="G92" s="159"/>
      <c r="H92" s="159"/>
      <c r="I92" s="159"/>
      <c r="J92" s="159"/>
      <c r="K92" s="157"/>
      <c r="L92" s="160" t="s">
        <v>855</v>
      </c>
      <c r="M92" s="159"/>
      <c r="N92" s="159"/>
      <c r="O92" s="159"/>
      <c r="P92" s="157"/>
      <c r="Q92" s="66"/>
      <c r="R92" s="66"/>
      <c r="S92" s="88">
        <f>SUM(Q92:R92)</f>
        <v>0</v>
      </c>
      <c r="T92" s="158"/>
      <c r="U92" s="159"/>
      <c r="V92" s="159"/>
      <c r="W92" s="159"/>
      <c r="X92" s="159"/>
      <c r="Y92" s="157"/>
    </row>
    <row r="93" spans="1:25">
      <c r="A93" s="183" t="s">
        <v>856</v>
      </c>
      <c r="B93" s="154"/>
      <c r="C93" s="154"/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54"/>
      <c r="V93" s="154"/>
      <c r="W93" s="154"/>
      <c r="X93" s="154"/>
      <c r="Y93" s="154"/>
    </row>
    <row r="94" spans="1:25">
      <c r="A94" s="70" t="s">
        <v>842</v>
      </c>
      <c r="B94" s="66"/>
      <c r="C94" s="66"/>
      <c r="D94" s="88">
        <f>SUM(B94:C94)</f>
        <v>0</v>
      </c>
      <c r="E94" s="158"/>
      <c r="F94" s="159"/>
      <c r="G94" s="159"/>
      <c r="H94" s="159"/>
      <c r="I94" s="159"/>
      <c r="J94" s="159"/>
      <c r="K94" s="157"/>
      <c r="L94" s="160" t="s">
        <v>843</v>
      </c>
      <c r="M94" s="159"/>
      <c r="N94" s="159"/>
      <c r="O94" s="159"/>
      <c r="P94" s="157"/>
      <c r="Q94" s="66"/>
      <c r="R94" s="66"/>
      <c r="S94" s="88">
        <f>SUM(Q94:R94)</f>
        <v>0</v>
      </c>
      <c r="T94" s="158"/>
      <c r="U94" s="159"/>
      <c r="V94" s="159"/>
      <c r="W94" s="159"/>
      <c r="X94" s="159"/>
      <c r="Y94" s="157"/>
    </row>
    <row r="95" spans="1:25">
      <c r="A95" s="70" t="s">
        <v>844</v>
      </c>
      <c r="B95" s="66"/>
      <c r="C95" s="66"/>
      <c r="D95" s="88">
        <f>SUM(B95:C95)</f>
        <v>0</v>
      </c>
      <c r="E95" s="158"/>
      <c r="F95" s="159"/>
      <c r="G95" s="159"/>
      <c r="H95" s="159"/>
      <c r="I95" s="159"/>
      <c r="J95" s="159"/>
      <c r="K95" s="157"/>
      <c r="L95" s="160" t="s">
        <v>845</v>
      </c>
      <c r="M95" s="159"/>
      <c r="N95" s="159"/>
      <c r="O95" s="159"/>
      <c r="P95" s="157"/>
      <c r="Q95" s="66"/>
      <c r="R95" s="66"/>
      <c r="S95" s="88">
        <f>SUM(Q95:R95)</f>
        <v>0</v>
      </c>
      <c r="T95" s="158"/>
      <c r="U95" s="159"/>
      <c r="V95" s="159"/>
      <c r="W95" s="159"/>
      <c r="X95" s="159"/>
      <c r="Y95" s="157"/>
    </row>
    <row r="96" spans="1:25">
      <c r="A96" s="70" t="s">
        <v>846</v>
      </c>
      <c r="B96" s="66"/>
      <c r="C96" s="66"/>
      <c r="D96" s="88">
        <f>SUM(B96:C96)</f>
        <v>0</v>
      </c>
      <c r="E96" s="158"/>
      <c r="F96" s="159"/>
      <c r="G96" s="159"/>
      <c r="H96" s="159"/>
      <c r="I96" s="159"/>
      <c r="J96" s="159"/>
      <c r="K96" s="157"/>
      <c r="L96" s="160" t="s">
        <v>847</v>
      </c>
      <c r="M96" s="159"/>
      <c r="N96" s="159"/>
      <c r="O96" s="159"/>
      <c r="P96" s="157"/>
      <c r="Q96" s="66"/>
      <c r="R96" s="66"/>
      <c r="S96" s="88">
        <f>SUM(Q96:R96)</f>
        <v>0</v>
      </c>
      <c r="T96" s="158"/>
      <c r="U96" s="159"/>
      <c r="V96" s="159"/>
      <c r="W96" s="159"/>
      <c r="X96" s="159"/>
      <c r="Y96" s="157"/>
    </row>
    <row r="97" spans="1:25">
      <c r="A97" s="70" t="s">
        <v>848</v>
      </c>
      <c r="B97" s="66"/>
      <c r="C97" s="66"/>
      <c r="D97" s="88">
        <f>SUM(B97:C97)</f>
        <v>0</v>
      </c>
      <c r="E97" s="158"/>
      <c r="F97" s="159"/>
      <c r="G97" s="159"/>
      <c r="H97" s="159"/>
      <c r="I97" s="159"/>
      <c r="J97" s="159"/>
      <c r="K97" s="157"/>
      <c r="L97" s="160" t="s">
        <v>849</v>
      </c>
      <c r="M97" s="159"/>
      <c r="N97" s="159"/>
      <c r="O97" s="159"/>
      <c r="P97" s="157"/>
      <c r="Q97" s="66"/>
      <c r="R97" s="66"/>
      <c r="S97" s="88">
        <f>SUM(Q97:R97)</f>
        <v>0</v>
      </c>
      <c r="T97" s="158"/>
      <c r="U97" s="159"/>
      <c r="V97" s="159"/>
      <c r="W97" s="159"/>
      <c r="X97" s="159"/>
      <c r="Y97" s="157"/>
    </row>
    <row r="98" spans="1:25">
      <c r="A98" s="70" t="s">
        <v>850</v>
      </c>
      <c r="B98" s="66"/>
      <c r="C98" s="66"/>
      <c r="D98" s="88">
        <f>SUM(B98:C98)</f>
        <v>0</v>
      </c>
      <c r="E98" s="158"/>
      <c r="F98" s="159"/>
      <c r="G98" s="159"/>
      <c r="H98" s="159"/>
      <c r="I98" s="159"/>
      <c r="J98" s="159"/>
      <c r="K98" s="157"/>
      <c r="L98" s="160" t="s">
        <v>851</v>
      </c>
      <c r="M98" s="159"/>
      <c r="N98" s="159"/>
      <c r="O98" s="159"/>
      <c r="P98" s="157"/>
      <c r="Q98" s="66"/>
      <c r="R98" s="66"/>
      <c r="S98" s="88">
        <f>SUM(Q98:R98)</f>
        <v>0</v>
      </c>
      <c r="T98" s="158"/>
      <c r="U98" s="159"/>
      <c r="V98" s="159"/>
      <c r="W98" s="159"/>
      <c r="X98" s="159"/>
      <c r="Y98" s="157"/>
    </row>
    <row r="99" spans="1:25">
      <c r="A99" s="70" t="s">
        <v>852</v>
      </c>
      <c r="B99" s="66"/>
      <c r="C99" s="66"/>
      <c r="D99" s="88">
        <f>SUM(B99:C99)</f>
        <v>0</v>
      </c>
      <c r="E99" s="158"/>
      <c r="F99" s="159"/>
      <c r="G99" s="159"/>
      <c r="H99" s="159"/>
      <c r="I99" s="159"/>
      <c r="J99" s="159"/>
      <c r="K99" s="157"/>
      <c r="L99" s="160" t="s">
        <v>853</v>
      </c>
      <c r="M99" s="159"/>
      <c r="N99" s="159"/>
      <c r="O99" s="159"/>
      <c r="P99" s="157"/>
      <c r="Q99" s="66"/>
      <c r="R99" s="66"/>
      <c r="S99" s="88">
        <f>SUM(Q99:R99)</f>
        <v>0</v>
      </c>
      <c r="T99" s="158"/>
      <c r="U99" s="159"/>
      <c r="V99" s="159"/>
      <c r="W99" s="159"/>
      <c r="X99" s="159"/>
      <c r="Y99" s="157"/>
    </row>
    <row r="100" spans="1:25">
      <c r="A100" s="70" t="s">
        <v>854</v>
      </c>
      <c r="B100" s="66"/>
      <c r="C100" s="66"/>
      <c r="D100" s="88">
        <f>SUM(B100:C100)</f>
        <v>0</v>
      </c>
      <c r="E100" s="158"/>
      <c r="F100" s="159"/>
      <c r="G100" s="159"/>
      <c r="H100" s="159"/>
      <c r="I100" s="159"/>
      <c r="J100" s="159"/>
      <c r="K100" s="157"/>
      <c r="L100" s="160" t="s">
        <v>857</v>
      </c>
      <c r="M100" s="159"/>
      <c r="N100" s="159"/>
      <c r="O100" s="159"/>
      <c r="P100" s="157"/>
      <c r="Q100" s="66"/>
      <c r="R100" s="66"/>
      <c r="S100" s="88">
        <f>SUM(Q100:R100)</f>
        <v>0</v>
      </c>
      <c r="T100" s="158"/>
      <c r="U100" s="159"/>
      <c r="V100" s="159"/>
      <c r="W100" s="159"/>
      <c r="X100" s="159"/>
      <c r="Y100" s="157"/>
    </row>
    <row r="101" spans="1:25">
      <c r="A101" s="148" t="s">
        <v>773</v>
      </c>
      <c r="B101" s="133" t="s">
        <v>830</v>
      </c>
      <c r="C101" s="134"/>
      <c r="D101" s="135"/>
      <c r="E101" s="127" t="s">
        <v>736</v>
      </c>
      <c r="F101" s="128"/>
      <c r="G101" s="128"/>
      <c r="H101" s="128"/>
      <c r="I101" s="128"/>
      <c r="J101" s="128"/>
      <c r="K101" s="129"/>
      <c r="L101" s="152" t="s">
        <v>773</v>
      </c>
      <c r="M101" s="128"/>
      <c r="N101" s="128"/>
      <c r="O101" s="128"/>
      <c r="P101" s="129"/>
      <c r="Q101" s="133" t="s">
        <v>830</v>
      </c>
      <c r="R101" s="134"/>
      <c r="S101" s="135"/>
      <c r="T101" s="127" t="s">
        <v>736</v>
      </c>
      <c r="U101" s="128"/>
      <c r="V101" s="128"/>
      <c r="W101" s="128"/>
      <c r="X101" s="128"/>
      <c r="Y101" s="129"/>
    </row>
    <row r="102" spans="1:25">
      <c r="A102" s="137"/>
      <c r="B102" s="63" t="s">
        <v>831</v>
      </c>
      <c r="C102" s="63" t="s">
        <v>832</v>
      </c>
      <c r="D102" s="63" t="s">
        <v>833</v>
      </c>
      <c r="E102" s="130"/>
      <c r="F102" s="131"/>
      <c r="G102" s="131"/>
      <c r="H102" s="131"/>
      <c r="I102" s="131"/>
      <c r="J102" s="131"/>
      <c r="K102" s="132"/>
      <c r="L102" s="130"/>
      <c r="M102" s="131"/>
      <c r="N102" s="131"/>
      <c r="O102" s="131"/>
      <c r="P102" s="132"/>
      <c r="Q102" s="63" t="s">
        <v>831</v>
      </c>
      <c r="R102" s="63" t="s">
        <v>832</v>
      </c>
      <c r="S102" s="63" t="s">
        <v>833</v>
      </c>
      <c r="T102" s="130"/>
      <c r="U102" s="131"/>
      <c r="V102" s="131"/>
      <c r="W102" s="131"/>
      <c r="X102" s="131"/>
      <c r="Y102" s="132"/>
    </row>
    <row r="103" spans="1:25">
      <c r="A103" s="183" t="s">
        <v>858</v>
      </c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</row>
    <row r="104" spans="1:25" customHeight="1" ht="24">
      <c r="A104" s="91" t="s">
        <v>859</v>
      </c>
      <c r="B104" s="92"/>
      <c r="C104" s="93"/>
      <c r="D104" s="88">
        <f>SUM(B104:C104)</f>
        <v>0</v>
      </c>
      <c r="E104" s="158"/>
      <c r="F104" s="159"/>
      <c r="G104" s="159"/>
      <c r="H104" s="159"/>
      <c r="I104" s="159"/>
      <c r="J104" s="159"/>
      <c r="K104" s="157"/>
      <c r="L104" s="160" t="s">
        <v>860</v>
      </c>
      <c r="M104" s="159"/>
      <c r="N104" s="159"/>
      <c r="O104" s="159"/>
      <c r="P104" s="157"/>
      <c r="Q104" s="93"/>
      <c r="R104" s="93"/>
      <c r="S104" s="88">
        <f>SUM(Q104:R104)</f>
        <v>0</v>
      </c>
      <c r="T104" s="158"/>
      <c r="U104" s="159"/>
      <c r="V104" s="159"/>
      <c r="W104" s="159"/>
      <c r="X104" s="159"/>
      <c r="Y104" s="157"/>
    </row>
    <row r="105" spans="1:25" customHeight="1" ht="24">
      <c r="A105" s="91" t="s">
        <v>861</v>
      </c>
      <c r="B105" s="92"/>
      <c r="C105" s="93"/>
      <c r="D105" s="88">
        <f>SUM(B105:C105)</f>
        <v>0</v>
      </c>
      <c r="E105" s="158"/>
      <c r="F105" s="159"/>
      <c r="G105" s="159"/>
      <c r="H105" s="159"/>
      <c r="I105" s="159"/>
      <c r="J105" s="159"/>
      <c r="K105" s="157"/>
      <c r="L105" s="160" t="s">
        <v>862</v>
      </c>
      <c r="M105" s="159"/>
      <c r="N105" s="159"/>
      <c r="O105" s="159"/>
      <c r="P105" s="157"/>
      <c r="Q105" s="93"/>
      <c r="R105" s="93"/>
      <c r="S105" s="88">
        <f>SUM(Q105:R105)</f>
        <v>0</v>
      </c>
      <c r="T105" s="158"/>
      <c r="U105" s="159"/>
      <c r="V105" s="159"/>
      <c r="W105" s="159"/>
      <c r="X105" s="159"/>
      <c r="Y105" s="157"/>
    </row>
    <row r="106" spans="1:25">
      <c r="A106" s="91" t="s">
        <v>863</v>
      </c>
      <c r="B106" s="93"/>
      <c r="C106" s="93"/>
      <c r="D106" s="88">
        <f>SUM(B106:C106)</f>
        <v>0</v>
      </c>
      <c r="E106" s="158"/>
      <c r="F106" s="159"/>
      <c r="G106" s="159"/>
      <c r="H106" s="159"/>
      <c r="I106" s="159"/>
      <c r="J106" s="159"/>
      <c r="K106" s="157"/>
      <c r="L106" s="160" t="s">
        <v>864</v>
      </c>
      <c r="M106" s="159"/>
      <c r="N106" s="159"/>
      <c r="O106" s="159"/>
      <c r="P106" s="157"/>
      <c r="Q106" s="93"/>
      <c r="R106" s="93"/>
      <c r="S106" s="88">
        <f>SUM(Q106:R106)</f>
        <v>0</v>
      </c>
      <c r="T106" s="158"/>
      <c r="U106" s="159"/>
      <c r="V106" s="159"/>
      <c r="W106" s="159"/>
      <c r="X106" s="159"/>
      <c r="Y106" s="157"/>
    </row>
    <row r="107" spans="1:25">
      <c r="A107" s="148" t="s">
        <v>773</v>
      </c>
      <c r="B107" s="133" t="s">
        <v>830</v>
      </c>
      <c r="C107" s="134"/>
      <c r="D107" s="135"/>
      <c r="E107" s="185" t="s">
        <v>736</v>
      </c>
      <c r="F107" s="141"/>
      <c r="G107" s="141"/>
      <c r="H107" s="141"/>
      <c r="I107" s="141"/>
      <c r="J107" s="141"/>
      <c r="K107" s="186"/>
      <c r="L107" s="187" t="s">
        <v>773</v>
      </c>
      <c r="M107" s="141"/>
      <c r="N107" s="141"/>
      <c r="O107" s="141"/>
      <c r="P107" s="186"/>
      <c r="Q107" s="133" t="s">
        <v>830</v>
      </c>
      <c r="R107" s="134"/>
      <c r="S107" s="135"/>
      <c r="T107" s="185" t="s">
        <v>736</v>
      </c>
      <c r="U107" s="141"/>
      <c r="V107" s="141"/>
      <c r="W107" s="141"/>
      <c r="X107" s="141"/>
      <c r="Y107" s="186"/>
    </row>
    <row r="108" spans="1:25">
      <c r="A108" s="137"/>
      <c r="B108" s="63" t="s">
        <v>831</v>
      </c>
      <c r="C108" s="63" t="s">
        <v>832</v>
      </c>
      <c r="D108" s="63" t="s">
        <v>833</v>
      </c>
      <c r="E108" s="130"/>
      <c r="F108" s="131"/>
      <c r="G108" s="131"/>
      <c r="H108" s="131"/>
      <c r="I108" s="131"/>
      <c r="J108" s="131"/>
      <c r="K108" s="132"/>
      <c r="L108" s="130"/>
      <c r="M108" s="131"/>
      <c r="N108" s="131"/>
      <c r="O108" s="131"/>
      <c r="P108" s="132"/>
      <c r="Q108" s="63" t="s">
        <v>831</v>
      </c>
      <c r="R108" s="63" t="s">
        <v>832</v>
      </c>
      <c r="S108" s="63" t="s">
        <v>833</v>
      </c>
      <c r="T108" s="130"/>
      <c r="U108" s="131"/>
      <c r="V108" s="131"/>
      <c r="W108" s="131"/>
      <c r="X108" s="131"/>
      <c r="Y108" s="132"/>
    </row>
    <row r="109" spans="1:25">
      <c r="A109" s="153" t="s">
        <v>865</v>
      </c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</row>
    <row r="110" spans="1:25" customHeight="1" ht="36">
      <c r="A110" s="70" t="s">
        <v>866</v>
      </c>
      <c r="B110" s="66"/>
      <c r="C110" s="66"/>
      <c r="D110" s="88">
        <f>SUM(B110:C110)</f>
        <v>0</v>
      </c>
      <c r="E110" s="158"/>
      <c r="F110" s="159"/>
      <c r="G110" s="159"/>
      <c r="H110" s="159"/>
      <c r="I110" s="159"/>
      <c r="J110" s="159"/>
      <c r="K110" s="157"/>
      <c r="L110" s="160" t="s">
        <v>867</v>
      </c>
      <c r="M110" s="159"/>
      <c r="N110" s="159"/>
      <c r="O110" s="159"/>
      <c r="P110" s="157"/>
      <c r="Q110" s="66"/>
      <c r="R110" s="66"/>
      <c r="S110" s="88">
        <f>SUM(Q110:R110)</f>
        <v>0</v>
      </c>
      <c r="T110" s="158"/>
      <c r="U110" s="159"/>
      <c r="V110" s="159"/>
      <c r="W110" s="159"/>
      <c r="X110" s="159"/>
      <c r="Y110" s="157"/>
    </row>
    <row r="111" spans="1:25" customHeight="1" ht="36">
      <c r="A111" s="70" t="s">
        <v>868</v>
      </c>
      <c r="B111" s="66"/>
      <c r="C111" s="66"/>
      <c r="D111" s="88">
        <f>SUM(B111:C111)</f>
        <v>0</v>
      </c>
      <c r="E111" s="158"/>
      <c r="F111" s="159"/>
      <c r="G111" s="159"/>
      <c r="H111" s="159"/>
      <c r="I111" s="159"/>
      <c r="J111" s="159"/>
      <c r="K111" s="157"/>
      <c r="L111" s="160" t="s">
        <v>869</v>
      </c>
      <c r="M111" s="159"/>
      <c r="N111" s="159"/>
      <c r="O111" s="159"/>
      <c r="P111" s="157"/>
      <c r="Q111" s="66"/>
      <c r="R111" s="66"/>
      <c r="S111" s="88">
        <f>SUM(Q111:R111)</f>
        <v>0</v>
      </c>
      <c r="T111" s="158"/>
      <c r="U111" s="159"/>
      <c r="V111" s="159"/>
      <c r="W111" s="159"/>
      <c r="X111" s="159"/>
      <c r="Y111" s="157"/>
    </row>
    <row r="112" spans="1:25" customHeight="1" ht="36">
      <c r="A112" s="70" t="s">
        <v>870</v>
      </c>
      <c r="B112" s="66"/>
      <c r="C112" s="66"/>
      <c r="D112" s="88">
        <f>SUM(B112:C112)</f>
        <v>0</v>
      </c>
      <c r="E112" s="158"/>
      <c r="F112" s="159"/>
      <c r="G112" s="159"/>
      <c r="H112" s="159"/>
      <c r="I112" s="159"/>
      <c r="J112" s="159"/>
      <c r="K112" s="157"/>
      <c r="L112" s="160" t="s">
        <v>871</v>
      </c>
      <c r="M112" s="159"/>
      <c r="N112" s="159"/>
      <c r="O112" s="159"/>
      <c r="P112" s="157"/>
      <c r="Q112" s="66"/>
      <c r="R112" s="66"/>
      <c r="S112" s="88">
        <f>SUM(Q112:R112)</f>
        <v>0</v>
      </c>
      <c r="T112" s="158"/>
      <c r="U112" s="159"/>
      <c r="V112" s="159"/>
      <c r="W112" s="159"/>
      <c r="X112" s="159"/>
      <c r="Y112" s="157"/>
    </row>
    <row r="113" spans="1:25" customHeight="1" ht="48">
      <c r="A113" s="70" t="s">
        <v>872</v>
      </c>
      <c r="B113" s="66"/>
      <c r="C113" s="66"/>
      <c r="D113" s="88">
        <f>SUM(B113:C113)</f>
        <v>0</v>
      </c>
      <c r="E113" s="158"/>
      <c r="F113" s="159"/>
      <c r="G113" s="159"/>
      <c r="H113" s="159"/>
      <c r="I113" s="159"/>
      <c r="J113" s="159"/>
      <c r="K113" s="157"/>
      <c r="L113" s="160" t="s">
        <v>873</v>
      </c>
      <c r="M113" s="159"/>
      <c r="N113" s="159"/>
      <c r="O113" s="159"/>
      <c r="P113" s="157"/>
      <c r="Q113" s="66"/>
      <c r="R113" s="66"/>
      <c r="S113" s="88">
        <f>SUM(Q113:R113)</f>
        <v>0</v>
      </c>
      <c r="T113" s="158"/>
      <c r="U113" s="159"/>
      <c r="V113" s="159"/>
      <c r="W113" s="159"/>
      <c r="X113" s="159"/>
      <c r="Y113" s="157"/>
    </row>
    <row r="114" spans="1:25">
      <c r="A114" s="188" t="s">
        <v>773</v>
      </c>
      <c r="B114" s="189" t="s">
        <v>830</v>
      </c>
      <c r="C114" s="131"/>
      <c r="D114" s="132"/>
      <c r="E114" s="185" t="s">
        <v>736</v>
      </c>
      <c r="F114" s="141"/>
      <c r="G114" s="141"/>
      <c r="H114" s="141"/>
      <c r="I114" s="141"/>
      <c r="J114" s="141"/>
      <c r="K114" s="186"/>
      <c r="L114" s="187" t="s">
        <v>773</v>
      </c>
      <c r="M114" s="141"/>
      <c r="N114" s="141"/>
      <c r="O114" s="141"/>
      <c r="P114" s="186"/>
      <c r="Q114" s="189" t="s">
        <v>830</v>
      </c>
      <c r="R114" s="131"/>
      <c r="S114" s="132"/>
      <c r="T114" s="185" t="s">
        <v>736</v>
      </c>
      <c r="U114" s="141"/>
      <c r="V114" s="141"/>
      <c r="W114" s="141"/>
      <c r="X114" s="141"/>
      <c r="Y114" s="186"/>
    </row>
    <row r="115" spans="1:25">
      <c r="A115" s="137"/>
      <c r="B115" s="51" t="s">
        <v>831</v>
      </c>
      <c r="C115" s="51" t="s">
        <v>832</v>
      </c>
      <c r="D115" s="51" t="s">
        <v>833</v>
      </c>
      <c r="E115" s="130"/>
      <c r="F115" s="131"/>
      <c r="G115" s="131"/>
      <c r="H115" s="131"/>
      <c r="I115" s="131"/>
      <c r="J115" s="131"/>
      <c r="K115" s="132"/>
      <c r="L115" s="130"/>
      <c r="M115" s="131"/>
      <c r="N115" s="131"/>
      <c r="O115" s="131"/>
      <c r="P115" s="132"/>
      <c r="Q115" s="51" t="s">
        <v>831</v>
      </c>
      <c r="R115" s="51" t="s">
        <v>832</v>
      </c>
      <c r="S115" s="51" t="s">
        <v>833</v>
      </c>
      <c r="T115" s="130"/>
      <c r="U115" s="131"/>
      <c r="V115" s="131"/>
      <c r="W115" s="131"/>
      <c r="X115" s="131"/>
      <c r="Y115" s="132"/>
    </row>
    <row r="116" spans="1:25" customHeight="1" ht="36">
      <c r="A116" s="94" t="s">
        <v>874</v>
      </c>
      <c r="B116" s="66"/>
      <c r="C116" s="66"/>
      <c r="D116" s="88">
        <f>SUM(B116:C116)</f>
        <v>0</v>
      </c>
      <c r="E116" s="158"/>
      <c r="F116" s="159"/>
      <c r="G116" s="159"/>
      <c r="H116" s="159"/>
      <c r="I116" s="159"/>
      <c r="J116" s="159"/>
      <c r="K116" s="157"/>
      <c r="L116" s="160" t="s">
        <v>875</v>
      </c>
      <c r="M116" s="159"/>
      <c r="N116" s="159"/>
      <c r="O116" s="159"/>
      <c r="P116" s="157"/>
      <c r="Q116" s="66"/>
      <c r="R116" s="66"/>
      <c r="S116" s="88">
        <f>SUM(Q116:R116)</f>
        <v>0</v>
      </c>
      <c r="T116" s="158"/>
      <c r="U116" s="159"/>
      <c r="V116" s="159"/>
      <c r="W116" s="159"/>
      <c r="X116" s="159"/>
      <c r="Y116" s="157"/>
    </row>
    <row r="117" spans="1:25">
      <c r="A117" s="94" t="s">
        <v>876</v>
      </c>
      <c r="B117" s="66"/>
      <c r="C117" s="66"/>
      <c r="D117" s="88">
        <f>SUM(B117:C117)</f>
        <v>0</v>
      </c>
      <c r="E117" s="158"/>
      <c r="F117" s="159"/>
      <c r="G117" s="159"/>
      <c r="H117" s="159"/>
      <c r="I117" s="159"/>
      <c r="J117" s="159"/>
      <c r="K117" s="157"/>
      <c r="L117" s="158" t="s">
        <v>877</v>
      </c>
      <c r="M117" s="159"/>
      <c r="N117" s="159"/>
      <c r="O117" s="159"/>
      <c r="P117" s="157"/>
      <c r="Q117" s="66"/>
      <c r="R117" s="66"/>
      <c r="S117" s="88">
        <f>SUM(Q117:R117)</f>
        <v>0</v>
      </c>
      <c r="T117" s="158"/>
      <c r="U117" s="159"/>
      <c r="V117" s="159"/>
      <c r="W117" s="159"/>
      <c r="X117" s="159"/>
      <c r="Y117" s="157"/>
    </row>
    <row r="118" spans="1:25">
      <c r="A118" s="94" t="s">
        <v>878</v>
      </c>
      <c r="B118" s="66"/>
      <c r="C118" s="66"/>
      <c r="D118" s="88">
        <f>SUM(B118:C118)</f>
        <v>0</v>
      </c>
      <c r="E118" s="158"/>
      <c r="F118" s="159"/>
      <c r="G118" s="159"/>
      <c r="H118" s="159"/>
      <c r="I118" s="159"/>
      <c r="J118" s="159"/>
      <c r="K118" s="157"/>
      <c r="L118" s="158" t="s">
        <v>879</v>
      </c>
      <c r="M118" s="159"/>
      <c r="N118" s="159"/>
      <c r="O118" s="159"/>
      <c r="P118" s="157"/>
      <c r="Q118" s="66"/>
      <c r="R118" s="66"/>
      <c r="S118" s="88">
        <f>SUM(Q118:R118)</f>
        <v>0</v>
      </c>
      <c r="T118" s="158"/>
      <c r="U118" s="159"/>
      <c r="V118" s="159"/>
      <c r="W118" s="159"/>
      <c r="X118" s="159"/>
      <c r="Y118" s="157"/>
    </row>
    <row r="119" spans="1:25">
      <c r="A119" s="94" t="s">
        <v>880</v>
      </c>
      <c r="B119" s="66"/>
      <c r="C119" s="66"/>
      <c r="D119" s="88">
        <f>SUM(B119:C119)</f>
        <v>0</v>
      </c>
      <c r="E119" s="158"/>
      <c r="F119" s="159"/>
      <c r="G119" s="159"/>
      <c r="H119" s="159"/>
      <c r="I119" s="159"/>
      <c r="J119" s="159"/>
      <c r="K119" s="157"/>
      <c r="L119" s="160" t="s">
        <v>881</v>
      </c>
      <c r="M119" s="159"/>
      <c r="N119" s="159"/>
      <c r="O119" s="159"/>
      <c r="P119" s="157"/>
      <c r="Q119" s="66"/>
      <c r="R119" s="66"/>
      <c r="S119" s="88">
        <f>SUM(Q119:R119)</f>
        <v>0</v>
      </c>
      <c r="T119" s="158"/>
      <c r="U119" s="159"/>
      <c r="V119" s="159"/>
      <c r="W119" s="159"/>
      <c r="X119" s="159"/>
      <c r="Y119" s="157"/>
    </row>
    <row r="120" spans="1:25">
      <c r="A120" s="94" t="s">
        <v>882</v>
      </c>
      <c r="B120" s="66"/>
      <c r="C120" s="66"/>
      <c r="D120" s="88">
        <f>SUM(B120:C120)</f>
        <v>0</v>
      </c>
      <c r="E120" s="158"/>
      <c r="F120" s="159"/>
      <c r="G120" s="159"/>
      <c r="H120" s="159"/>
      <c r="I120" s="159"/>
      <c r="J120" s="159"/>
      <c r="K120" s="157"/>
      <c r="L120" s="160" t="s">
        <v>883</v>
      </c>
      <c r="M120" s="159"/>
      <c r="N120" s="159"/>
      <c r="O120" s="159"/>
      <c r="P120" s="157"/>
      <c r="Q120" s="66"/>
      <c r="R120" s="66"/>
      <c r="S120" s="88">
        <f>SUM(Q120:R120)</f>
        <v>0</v>
      </c>
      <c r="T120" s="158"/>
      <c r="U120" s="159"/>
      <c r="V120" s="159"/>
      <c r="W120" s="159"/>
      <c r="X120" s="159"/>
      <c r="Y120" s="157"/>
    </row>
    <row r="121" spans="1:25">
      <c r="A121" s="94" t="s">
        <v>884</v>
      </c>
      <c r="B121" s="66"/>
      <c r="C121" s="66"/>
      <c r="D121" s="88">
        <f>SUM(B121:C121)</f>
        <v>0</v>
      </c>
      <c r="E121" s="158"/>
      <c r="F121" s="159"/>
      <c r="G121" s="159"/>
      <c r="H121" s="159"/>
      <c r="I121" s="159"/>
      <c r="J121" s="159"/>
      <c r="K121" s="157"/>
      <c r="L121" s="160" t="s">
        <v>885</v>
      </c>
      <c r="M121" s="159"/>
      <c r="N121" s="159"/>
      <c r="O121" s="159"/>
      <c r="P121" s="157"/>
      <c r="Q121" s="66"/>
      <c r="R121" s="66"/>
      <c r="S121" s="88">
        <f>SUM(Q121:R121)</f>
        <v>0</v>
      </c>
      <c r="T121" s="158"/>
      <c r="U121" s="159"/>
      <c r="V121" s="159"/>
      <c r="W121" s="159"/>
      <c r="X121" s="159"/>
      <c r="Y121" s="157"/>
    </row>
    <row r="122" spans="1:25">
      <c r="A122" s="94" t="s">
        <v>886</v>
      </c>
      <c r="B122" s="66"/>
      <c r="C122" s="66"/>
      <c r="D122" s="88">
        <f>SUM(B122:C122)</f>
        <v>0</v>
      </c>
      <c r="E122" s="158"/>
      <c r="F122" s="159"/>
      <c r="G122" s="159"/>
      <c r="H122" s="159"/>
      <c r="I122" s="159"/>
      <c r="J122" s="159"/>
      <c r="K122" s="157"/>
      <c r="L122" s="182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</row>
    <row r="123" spans="1:25">
      <c r="A123" s="188" t="s">
        <v>773</v>
      </c>
      <c r="B123" s="189" t="s">
        <v>830</v>
      </c>
      <c r="C123" s="131"/>
      <c r="D123" s="132"/>
      <c r="E123" s="185" t="s">
        <v>736</v>
      </c>
      <c r="F123" s="141"/>
      <c r="G123" s="141"/>
      <c r="H123" s="141"/>
      <c r="I123" s="141"/>
      <c r="J123" s="141"/>
      <c r="K123" s="186"/>
      <c r="L123" s="187" t="s">
        <v>773</v>
      </c>
      <c r="M123" s="141"/>
      <c r="N123" s="141"/>
      <c r="O123" s="141"/>
      <c r="P123" s="186"/>
      <c r="Q123" s="189" t="s">
        <v>830</v>
      </c>
      <c r="R123" s="131"/>
      <c r="S123" s="132"/>
      <c r="T123" s="185" t="s">
        <v>736</v>
      </c>
      <c r="U123" s="141"/>
      <c r="V123" s="141"/>
      <c r="W123" s="141"/>
      <c r="X123" s="141"/>
      <c r="Y123" s="186"/>
    </row>
    <row r="124" spans="1:25">
      <c r="A124" s="137"/>
      <c r="B124" s="63" t="s">
        <v>831</v>
      </c>
      <c r="C124" s="63" t="s">
        <v>832</v>
      </c>
      <c r="D124" s="63" t="s">
        <v>833</v>
      </c>
      <c r="E124" s="130"/>
      <c r="F124" s="131"/>
      <c r="G124" s="131"/>
      <c r="H124" s="131"/>
      <c r="I124" s="131"/>
      <c r="J124" s="131"/>
      <c r="K124" s="132"/>
      <c r="L124" s="130"/>
      <c r="M124" s="131"/>
      <c r="N124" s="131"/>
      <c r="O124" s="131"/>
      <c r="P124" s="132"/>
      <c r="Q124" s="63" t="s">
        <v>831</v>
      </c>
      <c r="R124" s="63" t="s">
        <v>832</v>
      </c>
      <c r="S124" s="63" t="s">
        <v>833</v>
      </c>
      <c r="T124" s="130"/>
      <c r="U124" s="131"/>
      <c r="V124" s="131"/>
      <c r="W124" s="131"/>
      <c r="X124" s="131"/>
      <c r="Y124" s="132"/>
    </row>
    <row r="125" spans="1:25">
      <c r="A125" s="153" t="s">
        <v>887</v>
      </c>
      <c r="B125" s="154"/>
      <c r="C125" s="154"/>
      <c r="D125" s="154"/>
      <c r="E125" s="154"/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  <c r="T125" s="154"/>
      <c r="U125" s="154"/>
      <c r="V125" s="154"/>
      <c r="W125" s="154"/>
      <c r="X125" s="154"/>
      <c r="Y125" s="154"/>
    </row>
    <row r="126" spans="1:25" customHeight="1" ht="48">
      <c r="A126" s="94" t="s">
        <v>888</v>
      </c>
      <c r="B126" s="66"/>
      <c r="C126" s="66"/>
      <c r="D126" s="88">
        <f>SUM(B126:C126)</f>
        <v>0</v>
      </c>
      <c r="E126" s="158"/>
      <c r="F126" s="159"/>
      <c r="G126" s="159"/>
      <c r="H126" s="159"/>
      <c r="I126" s="159"/>
      <c r="J126" s="159"/>
      <c r="K126" s="157"/>
      <c r="L126" s="160" t="s">
        <v>889</v>
      </c>
      <c r="M126" s="159"/>
      <c r="N126" s="159"/>
      <c r="O126" s="159"/>
      <c r="P126" s="157"/>
      <c r="Q126" s="66"/>
      <c r="R126" s="66"/>
      <c r="S126" s="88">
        <f>SUM(Q126:R126)</f>
        <v>0</v>
      </c>
      <c r="T126" s="158"/>
      <c r="U126" s="159"/>
      <c r="V126" s="159"/>
      <c r="W126" s="159"/>
      <c r="X126" s="159"/>
      <c r="Y126" s="157"/>
    </row>
    <row r="127" spans="1:25" customHeight="1" ht="24">
      <c r="A127" s="94" t="s">
        <v>890</v>
      </c>
      <c r="B127" s="66"/>
      <c r="C127" s="66"/>
      <c r="D127" s="88">
        <f>SUM(B127:C127)</f>
        <v>0</v>
      </c>
      <c r="E127" s="158"/>
      <c r="F127" s="159"/>
      <c r="G127" s="159"/>
      <c r="H127" s="159"/>
      <c r="I127" s="159"/>
      <c r="J127" s="159"/>
      <c r="K127" s="157"/>
      <c r="L127" s="160" t="s">
        <v>891</v>
      </c>
      <c r="M127" s="159"/>
      <c r="N127" s="159"/>
      <c r="O127" s="159"/>
      <c r="P127" s="157"/>
      <c r="Q127" s="66"/>
      <c r="R127" s="66"/>
      <c r="S127" s="88">
        <f>SUM(Q127:R127)</f>
        <v>0</v>
      </c>
      <c r="T127" s="158"/>
      <c r="U127" s="159"/>
      <c r="V127" s="159"/>
      <c r="W127" s="159"/>
      <c r="X127" s="159"/>
      <c r="Y127" s="157"/>
    </row>
    <row r="128" spans="1:25" customHeight="1" ht="48">
      <c r="A128" s="94" t="s">
        <v>892</v>
      </c>
      <c r="B128" s="66"/>
      <c r="C128" s="66"/>
      <c r="D128" s="88">
        <f>SUM(B128:C128)</f>
        <v>0</v>
      </c>
      <c r="E128" s="158"/>
      <c r="F128" s="159"/>
      <c r="G128" s="159"/>
      <c r="H128" s="159"/>
      <c r="I128" s="159"/>
      <c r="J128" s="159"/>
      <c r="K128" s="157"/>
      <c r="L128" s="160" t="s">
        <v>893</v>
      </c>
      <c r="M128" s="159"/>
      <c r="N128" s="159"/>
      <c r="O128" s="159"/>
      <c r="P128" s="157"/>
      <c r="Q128" s="66"/>
      <c r="R128" s="66"/>
      <c r="S128" s="88">
        <f>SUM(Q128:R128)</f>
        <v>0</v>
      </c>
      <c r="T128" s="158"/>
      <c r="U128" s="159"/>
      <c r="V128" s="159"/>
      <c r="W128" s="159"/>
      <c r="X128" s="159"/>
      <c r="Y128" s="157"/>
    </row>
    <row r="129" spans="1:25" customHeight="1" ht="24">
      <c r="A129" s="94" t="s">
        <v>894</v>
      </c>
      <c r="B129" s="66"/>
      <c r="C129" s="66"/>
      <c r="D129" s="88">
        <f>SUM(B129:C129)</f>
        <v>0</v>
      </c>
      <c r="E129" s="158"/>
      <c r="F129" s="159"/>
      <c r="G129" s="159"/>
      <c r="H129" s="159"/>
      <c r="I129" s="159"/>
      <c r="J129" s="159"/>
      <c r="K129" s="157"/>
      <c r="L129" s="160" t="s">
        <v>895</v>
      </c>
      <c r="M129" s="159"/>
      <c r="N129" s="159"/>
      <c r="O129" s="159"/>
      <c r="P129" s="157"/>
      <c r="Q129" s="66"/>
      <c r="R129" s="66"/>
      <c r="S129" s="88">
        <f>SUM(Q129:R129)</f>
        <v>0</v>
      </c>
      <c r="T129" s="158"/>
      <c r="U129" s="159"/>
      <c r="V129" s="159"/>
      <c r="W129" s="159"/>
      <c r="X129" s="159"/>
      <c r="Y129" s="157"/>
    </row>
    <row r="130" spans="1:25" customHeight="1" ht="24">
      <c r="A130" s="94" t="s">
        <v>896</v>
      </c>
      <c r="B130" s="66"/>
      <c r="C130" s="66"/>
      <c r="D130" s="88">
        <f>SUM(B130:C130)</f>
        <v>0</v>
      </c>
      <c r="E130" s="158"/>
      <c r="F130" s="159"/>
      <c r="G130" s="159"/>
      <c r="H130" s="159"/>
      <c r="I130" s="159"/>
      <c r="J130" s="159"/>
      <c r="K130" s="157"/>
      <c r="L130" s="194"/>
      <c r="M130" s="159"/>
      <c r="N130" s="159"/>
      <c r="O130" s="159"/>
      <c r="P130" s="159"/>
      <c r="Q130" s="159"/>
      <c r="R130" s="159"/>
      <c r="S130" s="159"/>
      <c r="T130" s="159"/>
      <c r="U130" s="159"/>
      <c r="V130" s="159"/>
      <c r="W130" s="159"/>
      <c r="X130" s="159"/>
      <c r="Y130" s="157"/>
    </row>
    <row r="131" spans="1:25">
      <c r="A131" s="142" t="s">
        <v>897</v>
      </c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5"/>
    </row>
    <row r="132" spans="1:25">
      <c r="A132" s="148" t="s">
        <v>773</v>
      </c>
      <c r="B132" s="133" t="s">
        <v>830</v>
      </c>
      <c r="C132" s="135"/>
      <c r="D132" s="136" t="s">
        <v>833</v>
      </c>
      <c r="E132" s="127" t="s">
        <v>736</v>
      </c>
      <c r="F132" s="128"/>
      <c r="G132" s="128"/>
      <c r="H132" s="128"/>
      <c r="I132" s="128"/>
      <c r="J132" s="128"/>
      <c r="K132" s="129"/>
      <c r="L132" s="152" t="s">
        <v>773</v>
      </c>
      <c r="M132" s="128"/>
      <c r="N132" s="128"/>
      <c r="O132" s="129"/>
      <c r="P132" s="133" t="s">
        <v>830</v>
      </c>
      <c r="Q132" s="135"/>
      <c r="R132" s="136" t="s">
        <v>833</v>
      </c>
      <c r="S132" s="127" t="s">
        <v>736</v>
      </c>
      <c r="T132" s="128"/>
      <c r="U132" s="128"/>
      <c r="V132" s="128"/>
      <c r="W132" s="128"/>
      <c r="X132" s="128"/>
      <c r="Y132" s="129"/>
    </row>
    <row r="133" spans="1:25">
      <c r="A133" s="137"/>
      <c r="B133" s="63" t="s">
        <v>831</v>
      </c>
      <c r="C133" s="63" t="s">
        <v>832</v>
      </c>
      <c r="D133" s="137"/>
      <c r="E133" s="130"/>
      <c r="F133" s="131"/>
      <c r="G133" s="131"/>
      <c r="H133" s="131"/>
      <c r="I133" s="131"/>
      <c r="J133" s="131"/>
      <c r="K133" s="132"/>
      <c r="L133" s="130"/>
      <c r="M133" s="131"/>
      <c r="N133" s="131"/>
      <c r="O133" s="132"/>
      <c r="P133" s="63" t="s">
        <v>831</v>
      </c>
      <c r="Q133" s="63" t="s">
        <v>832</v>
      </c>
      <c r="R133" s="137"/>
      <c r="S133" s="130"/>
      <c r="T133" s="131"/>
      <c r="U133" s="131"/>
      <c r="V133" s="131"/>
      <c r="W133" s="131"/>
      <c r="X133" s="131"/>
      <c r="Y133" s="132"/>
    </row>
    <row r="134" spans="1:25" customHeight="1" ht="14.25">
      <c r="A134" s="190" t="s">
        <v>898</v>
      </c>
      <c r="B134" s="191"/>
      <c r="C134" s="191"/>
      <c r="D134" s="191"/>
      <c r="E134" s="191"/>
      <c r="F134" s="191"/>
      <c r="G134" s="191"/>
      <c r="H134" s="191"/>
      <c r="I134" s="191"/>
      <c r="J134" s="191"/>
      <c r="K134" s="191"/>
      <c r="L134" s="191"/>
      <c r="M134" s="191"/>
      <c r="N134" s="191"/>
      <c r="O134" s="191"/>
      <c r="P134" s="191"/>
      <c r="Q134" s="191"/>
      <c r="R134" s="191"/>
      <c r="S134" s="191"/>
      <c r="T134" s="191"/>
      <c r="U134" s="191"/>
      <c r="V134" s="191"/>
      <c r="W134" s="191"/>
      <c r="X134" s="191"/>
      <c r="Y134" s="192"/>
    </row>
    <row r="135" spans="1:25" customHeight="1" ht="24">
      <c r="A135" s="95" t="s">
        <v>899</v>
      </c>
      <c r="B135" s="96">
        <v>0</v>
      </c>
      <c r="C135" s="96">
        <v>0</v>
      </c>
      <c r="D135" s="97">
        <f>SUM(B135:C135)</f>
        <v>0</v>
      </c>
      <c r="E135" s="193"/>
      <c r="F135" s="154"/>
      <c r="G135" s="154"/>
      <c r="H135" s="154"/>
      <c r="I135" s="154"/>
      <c r="J135" s="154"/>
      <c r="K135" s="155"/>
      <c r="L135" s="184" t="s">
        <v>900</v>
      </c>
      <c r="M135" s="154"/>
      <c r="N135" s="154"/>
      <c r="O135" s="155"/>
      <c r="P135" s="97">
        <f>SUM(P136:P137)</f>
        <v>0</v>
      </c>
      <c r="Q135" s="97">
        <f>SUM(Q136:Q137)</f>
        <v>0</v>
      </c>
      <c r="R135" s="97">
        <f>SUM(R136:R137)</f>
        <v>0</v>
      </c>
      <c r="S135" s="193"/>
      <c r="T135" s="154"/>
      <c r="U135" s="154"/>
      <c r="V135" s="154"/>
      <c r="W135" s="154"/>
      <c r="X135" s="154"/>
      <c r="Y135" s="155"/>
    </row>
    <row r="136" spans="1:25" customHeight="1" ht="36">
      <c r="A136" s="70" t="s">
        <v>901</v>
      </c>
      <c r="B136" s="88">
        <f>SUM(B137:B138)</f>
        <v>0</v>
      </c>
      <c r="C136" s="88">
        <f>SUM(C137:C138)</f>
        <v>0</v>
      </c>
      <c r="D136" s="88">
        <f>SUM(D137:D138)</f>
        <v>0</v>
      </c>
      <c r="E136" s="158"/>
      <c r="F136" s="159"/>
      <c r="G136" s="159"/>
      <c r="H136" s="159"/>
      <c r="I136" s="159"/>
      <c r="J136" s="159"/>
      <c r="K136" s="157"/>
      <c r="L136" s="160" t="s">
        <v>902</v>
      </c>
      <c r="M136" s="159"/>
      <c r="N136" s="159"/>
      <c r="O136" s="157"/>
      <c r="P136" s="66">
        <v>0</v>
      </c>
      <c r="Q136" s="66">
        <v>0</v>
      </c>
      <c r="R136" s="88">
        <f>SUM(P136:Q136)</f>
        <v>0</v>
      </c>
      <c r="S136" s="158"/>
      <c r="T136" s="159"/>
      <c r="U136" s="159"/>
      <c r="V136" s="159"/>
      <c r="W136" s="159"/>
      <c r="X136" s="159"/>
      <c r="Y136" s="157"/>
    </row>
    <row r="137" spans="1:25" customHeight="1" ht="48">
      <c r="A137" s="70" t="s">
        <v>903</v>
      </c>
      <c r="B137" s="66"/>
      <c r="C137" s="66"/>
      <c r="D137" s="88">
        <f>SUM(B137:C137)</f>
        <v>0</v>
      </c>
      <c r="E137" s="158"/>
      <c r="F137" s="159"/>
      <c r="G137" s="159"/>
      <c r="H137" s="159"/>
      <c r="I137" s="159"/>
      <c r="J137" s="159"/>
      <c r="K137" s="157"/>
      <c r="L137" s="160" t="s">
        <v>904</v>
      </c>
      <c r="M137" s="159"/>
      <c r="N137" s="159"/>
      <c r="O137" s="157"/>
      <c r="P137" s="66">
        <v>0</v>
      </c>
      <c r="Q137" s="66">
        <v>0</v>
      </c>
      <c r="R137" s="88">
        <f>SUM(P137:Q137)</f>
        <v>0</v>
      </c>
      <c r="S137" s="158"/>
      <c r="T137" s="159"/>
      <c r="U137" s="159"/>
      <c r="V137" s="159"/>
      <c r="W137" s="159"/>
      <c r="X137" s="159"/>
      <c r="Y137" s="157"/>
    </row>
    <row r="138" spans="1:25" customHeight="1" ht="48">
      <c r="A138" s="70" t="s">
        <v>905</v>
      </c>
      <c r="B138" s="66">
        <v>0</v>
      </c>
      <c r="C138" s="66">
        <v>0</v>
      </c>
      <c r="D138" s="88">
        <f>SUM(B138:C138)</f>
        <v>0</v>
      </c>
      <c r="E138" s="158"/>
      <c r="F138" s="159"/>
      <c r="G138" s="159"/>
      <c r="H138" s="159"/>
      <c r="I138" s="159"/>
      <c r="J138" s="159"/>
      <c r="K138" s="157"/>
      <c r="L138" s="160" t="s">
        <v>906</v>
      </c>
      <c r="M138" s="159"/>
      <c r="N138" s="159"/>
      <c r="O138" s="157"/>
      <c r="P138" s="88">
        <f>SUM(P139:P140)</f>
        <v>0</v>
      </c>
      <c r="Q138" s="88">
        <f>SUM(Q139:Q140)</f>
        <v>0</v>
      </c>
      <c r="R138" s="88">
        <f>SUM(R139:R140)</f>
        <v>0</v>
      </c>
      <c r="S138" s="158"/>
      <c r="T138" s="159"/>
      <c r="U138" s="159"/>
      <c r="V138" s="159"/>
      <c r="W138" s="159"/>
      <c r="X138" s="159"/>
      <c r="Y138" s="157"/>
    </row>
    <row r="139" spans="1:25" customHeight="1" ht="36">
      <c r="A139" s="70" t="s">
        <v>907</v>
      </c>
      <c r="B139" s="88">
        <f>SUM(B140:B141)</f>
        <v>0</v>
      </c>
      <c r="C139" s="88">
        <f>SUM(C140:C141)</f>
        <v>0</v>
      </c>
      <c r="D139" s="88">
        <f>SUM(D140:D141)</f>
        <v>0</v>
      </c>
      <c r="E139" s="158"/>
      <c r="F139" s="159"/>
      <c r="G139" s="159"/>
      <c r="H139" s="159"/>
      <c r="I139" s="159"/>
      <c r="J139" s="159"/>
      <c r="K139" s="157"/>
      <c r="L139" s="160" t="s">
        <v>908</v>
      </c>
      <c r="M139" s="159"/>
      <c r="N139" s="159"/>
      <c r="O139" s="157"/>
      <c r="P139" s="66">
        <v>0</v>
      </c>
      <c r="Q139" s="66">
        <v>0</v>
      </c>
      <c r="R139" s="88">
        <f>SUM(P139:Q139)</f>
        <v>0</v>
      </c>
      <c r="S139" s="158"/>
      <c r="T139" s="159"/>
      <c r="U139" s="159"/>
      <c r="V139" s="159"/>
      <c r="W139" s="159"/>
      <c r="X139" s="159"/>
      <c r="Y139" s="157"/>
    </row>
    <row r="140" spans="1:25" customHeight="1" ht="48">
      <c r="A140" s="70" t="s">
        <v>909</v>
      </c>
      <c r="B140" s="66"/>
      <c r="C140" s="66"/>
      <c r="D140" s="88">
        <f>SUM(B140:C140)</f>
        <v>0</v>
      </c>
      <c r="E140" s="158"/>
      <c r="F140" s="159"/>
      <c r="G140" s="159"/>
      <c r="H140" s="159"/>
      <c r="I140" s="159"/>
      <c r="J140" s="159"/>
      <c r="K140" s="157"/>
      <c r="L140" s="160" t="s">
        <v>910</v>
      </c>
      <c r="M140" s="159"/>
      <c r="N140" s="159"/>
      <c r="O140" s="157"/>
      <c r="P140" s="66">
        <v>0</v>
      </c>
      <c r="Q140" s="66">
        <v>0</v>
      </c>
      <c r="R140" s="88">
        <f>SUM(P140:Q140)</f>
        <v>0</v>
      </c>
      <c r="S140" s="158"/>
      <c r="T140" s="159"/>
      <c r="U140" s="159"/>
      <c r="V140" s="159"/>
      <c r="W140" s="159"/>
      <c r="X140" s="159"/>
      <c r="Y140" s="157"/>
    </row>
    <row r="141" spans="1:25" customHeight="1" ht="48">
      <c r="A141" s="70" t="s">
        <v>911</v>
      </c>
      <c r="B141" s="66">
        <v>0</v>
      </c>
      <c r="C141" s="66">
        <v>0</v>
      </c>
      <c r="D141" s="88">
        <f>SUM(B141:C141)</f>
        <v>0</v>
      </c>
      <c r="E141" s="158"/>
      <c r="F141" s="159"/>
      <c r="G141" s="159"/>
      <c r="H141" s="159"/>
      <c r="I141" s="159"/>
      <c r="J141" s="159"/>
      <c r="K141" s="157"/>
      <c r="L141" s="160" t="s">
        <v>912</v>
      </c>
      <c r="M141" s="159"/>
      <c r="N141" s="159"/>
      <c r="O141" s="157"/>
      <c r="P141" s="88">
        <f>SUM(P142:P143)</f>
        <v>0</v>
      </c>
      <c r="Q141" s="88">
        <f>SUM(Q142:Q143)</f>
        <v>0</v>
      </c>
      <c r="R141" s="88">
        <f>SUM(R142:R143)</f>
        <v>0</v>
      </c>
      <c r="S141" s="158"/>
      <c r="T141" s="159"/>
      <c r="U141" s="159"/>
      <c r="V141" s="159"/>
      <c r="W141" s="159"/>
      <c r="X141" s="159"/>
      <c r="Y141" s="157"/>
    </row>
    <row r="142" spans="1:25" customHeight="1" ht="48">
      <c r="A142" s="70" t="s">
        <v>913</v>
      </c>
      <c r="B142" s="88">
        <f>SUM(B143:B144)</f>
        <v>0</v>
      </c>
      <c r="C142" s="88">
        <f>SUM(C143:C144)</f>
        <v>0</v>
      </c>
      <c r="D142" s="88">
        <f>SUM(D143:D144)</f>
        <v>0</v>
      </c>
      <c r="E142" s="158"/>
      <c r="F142" s="159"/>
      <c r="G142" s="159"/>
      <c r="H142" s="159"/>
      <c r="I142" s="159"/>
      <c r="J142" s="159"/>
      <c r="K142" s="157"/>
      <c r="L142" s="160" t="s">
        <v>914</v>
      </c>
      <c r="M142" s="159"/>
      <c r="N142" s="159"/>
      <c r="O142" s="157"/>
      <c r="P142" s="66">
        <v>0</v>
      </c>
      <c r="Q142" s="66">
        <v>0</v>
      </c>
      <c r="R142" s="88">
        <f>SUM(P142:Q142)</f>
        <v>0</v>
      </c>
      <c r="S142" s="158"/>
      <c r="T142" s="159"/>
      <c r="U142" s="159"/>
      <c r="V142" s="159"/>
      <c r="W142" s="159"/>
      <c r="X142" s="159"/>
      <c r="Y142" s="157"/>
    </row>
    <row r="143" spans="1:25" customHeight="1" ht="48">
      <c r="A143" s="70" t="s">
        <v>915</v>
      </c>
      <c r="B143" s="66"/>
      <c r="C143" s="66"/>
      <c r="D143" s="88">
        <f>SUM(B143:C143)</f>
        <v>0</v>
      </c>
      <c r="E143" s="158"/>
      <c r="F143" s="159"/>
      <c r="G143" s="159"/>
      <c r="H143" s="159"/>
      <c r="I143" s="159"/>
      <c r="J143" s="159"/>
      <c r="K143" s="157"/>
      <c r="L143" s="160" t="s">
        <v>916</v>
      </c>
      <c r="M143" s="159"/>
      <c r="N143" s="159"/>
      <c r="O143" s="157"/>
      <c r="P143" s="66">
        <v>0</v>
      </c>
      <c r="Q143" s="66">
        <v>0</v>
      </c>
      <c r="R143" s="88">
        <f>SUM(P143:Q143)</f>
        <v>0</v>
      </c>
      <c r="S143" s="158"/>
      <c r="T143" s="159"/>
      <c r="U143" s="159"/>
      <c r="V143" s="159"/>
      <c r="W143" s="159"/>
      <c r="X143" s="159"/>
      <c r="Y143" s="157"/>
    </row>
    <row r="144" spans="1:25" customHeight="1" ht="48">
      <c r="A144" s="70" t="s">
        <v>917</v>
      </c>
      <c r="B144" s="66"/>
      <c r="C144" s="66"/>
      <c r="D144" s="88">
        <f>SUM(B144:C144)</f>
        <v>0</v>
      </c>
      <c r="E144" s="158"/>
      <c r="F144" s="159"/>
      <c r="G144" s="159"/>
      <c r="H144" s="159"/>
      <c r="I144" s="159"/>
      <c r="J144" s="159"/>
      <c r="K144" s="157"/>
      <c r="L144" s="160" t="s">
        <v>918</v>
      </c>
      <c r="M144" s="159"/>
      <c r="N144" s="159"/>
      <c r="O144" s="157"/>
      <c r="P144" s="88">
        <f>SUM(P145:P146)</f>
        <v>0</v>
      </c>
      <c r="Q144" s="88">
        <f>SUM(Q145:Q146)</f>
        <v>0</v>
      </c>
      <c r="R144" s="88">
        <f>SUM(R145:R146)</f>
        <v>0</v>
      </c>
      <c r="S144" s="158"/>
      <c r="T144" s="159"/>
      <c r="U144" s="159"/>
      <c r="V144" s="159"/>
      <c r="W144" s="159"/>
      <c r="X144" s="159"/>
      <c r="Y144" s="157"/>
    </row>
    <row r="145" spans="1:25" customHeight="1" ht="36">
      <c r="A145" s="70" t="s">
        <v>919</v>
      </c>
      <c r="B145" s="88">
        <f>SUM(B146:B147)</f>
        <v>0</v>
      </c>
      <c r="C145" s="88">
        <f>SUM(C146:C147)</f>
        <v>0</v>
      </c>
      <c r="D145" s="88">
        <f>SUM(D146:D147)</f>
        <v>0</v>
      </c>
      <c r="E145" s="158"/>
      <c r="F145" s="159"/>
      <c r="G145" s="159"/>
      <c r="H145" s="159"/>
      <c r="I145" s="159"/>
      <c r="J145" s="159"/>
      <c r="K145" s="157"/>
      <c r="L145" s="160" t="s">
        <v>920</v>
      </c>
      <c r="M145" s="159"/>
      <c r="N145" s="159"/>
      <c r="O145" s="157"/>
      <c r="P145" s="66">
        <v>0</v>
      </c>
      <c r="Q145" s="66">
        <v>0</v>
      </c>
      <c r="R145" s="88">
        <f>SUM(P145:Q145)</f>
        <v>0</v>
      </c>
      <c r="S145" s="158"/>
      <c r="T145" s="159"/>
      <c r="U145" s="159"/>
      <c r="V145" s="159"/>
      <c r="W145" s="159"/>
      <c r="X145" s="159"/>
      <c r="Y145" s="157"/>
    </row>
    <row r="146" spans="1:25" customHeight="1" ht="48">
      <c r="A146" s="70" t="s">
        <v>921</v>
      </c>
      <c r="B146" s="66"/>
      <c r="C146" s="66"/>
      <c r="D146" s="88">
        <f>SUM(B146:C146)</f>
        <v>0</v>
      </c>
      <c r="E146" s="158"/>
      <c r="F146" s="159"/>
      <c r="G146" s="159"/>
      <c r="H146" s="159"/>
      <c r="I146" s="159"/>
      <c r="J146" s="159"/>
      <c r="K146" s="157"/>
      <c r="L146" s="160" t="s">
        <v>922</v>
      </c>
      <c r="M146" s="159"/>
      <c r="N146" s="159"/>
      <c r="O146" s="157"/>
      <c r="P146" s="66">
        <v>0</v>
      </c>
      <c r="Q146" s="66">
        <v>0</v>
      </c>
      <c r="R146" s="88">
        <f>SUM(P146:Q146)</f>
        <v>0</v>
      </c>
      <c r="S146" s="158"/>
      <c r="T146" s="159"/>
      <c r="U146" s="159"/>
      <c r="V146" s="159"/>
      <c r="W146" s="159"/>
      <c r="X146" s="159"/>
      <c r="Y146" s="157"/>
    </row>
    <row r="147" spans="1:25" customHeight="1" ht="48">
      <c r="A147" s="70" t="s">
        <v>923</v>
      </c>
      <c r="B147" s="66"/>
      <c r="C147" s="66"/>
      <c r="D147" s="88">
        <f>SUM(B147:C147)</f>
        <v>0</v>
      </c>
      <c r="E147" s="158"/>
      <c r="F147" s="159"/>
      <c r="G147" s="159"/>
      <c r="H147" s="159"/>
      <c r="I147" s="159"/>
      <c r="J147" s="159"/>
      <c r="K147" s="157"/>
      <c r="L147" s="160" t="s">
        <v>924</v>
      </c>
      <c r="M147" s="159"/>
      <c r="N147" s="159"/>
      <c r="O147" s="157"/>
      <c r="P147" s="88">
        <f>SUM(P148:P149)</f>
        <v>0</v>
      </c>
      <c r="Q147" s="88">
        <f>SUM(Q148:Q149)</f>
        <v>0</v>
      </c>
      <c r="R147" s="88">
        <f>SUM(R148:R149)</f>
        <v>0</v>
      </c>
      <c r="S147" s="158"/>
      <c r="T147" s="159"/>
      <c r="U147" s="159"/>
      <c r="V147" s="159"/>
      <c r="W147" s="159"/>
      <c r="X147" s="159"/>
      <c r="Y147" s="157"/>
    </row>
    <row r="148" spans="1:25" customHeight="1" ht="48">
      <c r="A148" s="70" t="s">
        <v>925</v>
      </c>
      <c r="B148" s="88">
        <f>SUM(B149:B150)</f>
        <v>0</v>
      </c>
      <c r="C148" s="88">
        <f>SUM(C149:C150)</f>
        <v>0</v>
      </c>
      <c r="D148" s="88">
        <f>SUM(D149:D150)</f>
        <v>0</v>
      </c>
      <c r="E148" s="158"/>
      <c r="F148" s="159"/>
      <c r="G148" s="159"/>
      <c r="H148" s="159"/>
      <c r="I148" s="159"/>
      <c r="J148" s="159"/>
      <c r="K148" s="157"/>
      <c r="L148" s="160" t="s">
        <v>926</v>
      </c>
      <c r="M148" s="159"/>
      <c r="N148" s="159"/>
      <c r="O148" s="157"/>
      <c r="P148" s="66">
        <v>0</v>
      </c>
      <c r="Q148" s="66">
        <v>0</v>
      </c>
      <c r="R148" s="88">
        <f>SUM(P148:Q148)</f>
        <v>0</v>
      </c>
      <c r="S148" s="158"/>
      <c r="T148" s="159"/>
      <c r="U148" s="159"/>
      <c r="V148" s="159"/>
      <c r="W148" s="159"/>
      <c r="X148" s="159"/>
      <c r="Y148" s="157"/>
    </row>
    <row r="149" spans="1:25" customHeight="1" ht="48">
      <c r="A149" s="70" t="s">
        <v>927</v>
      </c>
      <c r="B149" s="66"/>
      <c r="C149" s="66"/>
      <c r="D149" s="88">
        <f>SUM(B149:C149)</f>
        <v>0</v>
      </c>
      <c r="E149" s="158"/>
      <c r="F149" s="159"/>
      <c r="G149" s="159"/>
      <c r="H149" s="159"/>
      <c r="I149" s="159"/>
      <c r="J149" s="159"/>
      <c r="K149" s="157"/>
      <c r="L149" s="160" t="s">
        <v>928</v>
      </c>
      <c r="M149" s="159"/>
      <c r="N149" s="159"/>
      <c r="O149" s="157"/>
      <c r="P149" s="66">
        <v>0</v>
      </c>
      <c r="Q149" s="66">
        <v>0</v>
      </c>
      <c r="R149" s="88">
        <f>SUM(P149:Q149)</f>
        <v>0</v>
      </c>
      <c r="S149" s="158"/>
      <c r="T149" s="159"/>
      <c r="U149" s="159"/>
      <c r="V149" s="159"/>
      <c r="W149" s="159"/>
      <c r="X149" s="159"/>
      <c r="Y149" s="157"/>
    </row>
    <row r="150" spans="1:25" customHeight="1" ht="48">
      <c r="A150" s="77" t="s">
        <v>929</v>
      </c>
      <c r="B150" s="75"/>
      <c r="C150" s="75"/>
      <c r="D150" s="98">
        <f>SUM(B150:C150)</f>
        <v>0</v>
      </c>
      <c r="E150" s="163"/>
      <c r="F150" s="164"/>
      <c r="G150" s="164"/>
      <c r="H150" s="164"/>
      <c r="I150" s="164"/>
      <c r="J150" s="164"/>
      <c r="K150" s="165"/>
      <c r="L150" s="173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5"/>
    </row>
    <row r="151" spans="1:25">
      <c r="A151" s="148" t="s">
        <v>773</v>
      </c>
      <c r="B151" s="133" t="s">
        <v>734</v>
      </c>
      <c r="C151" s="134"/>
      <c r="D151" s="135"/>
      <c r="E151" s="136" t="s">
        <v>833</v>
      </c>
      <c r="F151" s="127" t="s">
        <v>736</v>
      </c>
      <c r="G151" s="128"/>
      <c r="H151" s="128"/>
      <c r="I151" s="128"/>
      <c r="J151" s="128"/>
      <c r="K151" s="129"/>
      <c r="L151" s="152" t="s">
        <v>773</v>
      </c>
      <c r="M151" s="128"/>
      <c r="N151" s="128"/>
      <c r="O151" s="129"/>
      <c r="P151" s="133" t="s">
        <v>734</v>
      </c>
      <c r="Q151" s="134"/>
      <c r="R151" s="135"/>
      <c r="S151" s="136" t="s">
        <v>833</v>
      </c>
      <c r="T151" s="127" t="s">
        <v>736</v>
      </c>
      <c r="U151" s="128"/>
      <c r="V151" s="128"/>
      <c r="W151" s="128"/>
      <c r="X151" s="128"/>
      <c r="Y151" s="129"/>
    </row>
    <row r="152" spans="1:25">
      <c r="A152" s="137"/>
      <c r="B152" s="99">
        <v>45944</v>
      </c>
      <c r="C152" s="63" t="s">
        <v>751</v>
      </c>
      <c r="D152" s="63" t="s">
        <v>752</v>
      </c>
      <c r="E152" s="137"/>
      <c r="F152" s="130"/>
      <c r="G152" s="131"/>
      <c r="H152" s="131"/>
      <c r="I152" s="131"/>
      <c r="J152" s="131"/>
      <c r="K152" s="132"/>
      <c r="L152" s="130"/>
      <c r="M152" s="131"/>
      <c r="N152" s="131"/>
      <c r="O152" s="132"/>
      <c r="P152" s="99">
        <v>45944</v>
      </c>
      <c r="Q152" s="63" t="s">
        <v>751</v>
      </c>
      <c r="R152" s="63" t="s">
        <v>752</v>
      </c>
      <c r="S152" s="137"/>
      <c r="T152" s="130"/>
      <c r="U152" s="131"/>
      <c r="V152" s="131"/>
      <c r="W152" s="131"/>
      <c r="X152" s="131"/>
      <c r="Y152" s="132"/>
    </row>
    <row r="153" spans="1:25" customHeight="1" ht="36">
      <c r="A153" s="95" t="s">
        <v>930</v>
      </c>
      <c r="B153" s="97">
        <f>SUM(B154:B155)</f>
        <v>0</v>
      </c>
      <c r="C153" s="97">
        <f>SUM(C154:C155)</f>
        <v>0</v>
      </c>
      <c r="D153" s="97">
        <f>SUM(D154:D155)</f>
        <v>0</v>
      </c>
      <c r="E153" s="97">
        <f>SUM(B153:D153)</f>
        <v>0</v>
      </c>
      <c r="F153" s="193"/>
      <c r="G153" s="154"/>
      <c r="H153" s="154"/>
      <c r="I153" s="154"/>
      <c r="J153" s="154"/>
      <c r="K153" s="155"/>
      <c r="L153" s="184" t="s">
        <v>931</v>
      </c>
      <c r="M153" s="154"/>
      <c r="N153" s="154"/>
      <c r="O153" s="155"/>
      <c r="P153" s="97">
        <f>SUM(P154:P155)</f>
        <v>0</v>
      </c>
      <c r="Q153" s="97">
        <f>SUM(Q154:Q155)</f>
        <v>0</v>
      </c>
      <c r="R153" s="97">
        <f>SUM(R154:R155)</f>
        <v>0</v>
      </c>
      <c r="S153" s="97">
        <f>SUM(P153:R153)</f>
        <v>0</v>
      </c>
      <c r="T153" s="193"/>
      <c r="U153" s="154"/>
      <c r="V153" s="154"/>
      <c r="W153" s="154"/>
      <c r="X153" s="154"/>
      <c r="Y153" s="155"/>
    </row>
    <row r="154" spans="1:25" customHeight="1" ht="48">
      <c r="A154" s="70" t="s">
        <v>932</v>
      </c>
      <c r="B154" s="66"/>
      <c r="C154" s="66"/>
      <c r="D154" s="66"/>
      <c r="E154" s="88">
        <f>SUM(B154:D154)</f>
        <v>0</v>
      </c>
      <c r="F154" s="158"/>
      <c r="G154" s="159"/>
      <c r="H154" s="159"/>
      <c r="I154" s="159"/>
      <c r="J154" s="159"/>
      <c r="K154" s="157"/>
      <c r="L154" s="160" t="s">
        <v>933</v>
      </c>
      <c r="M154" s="159"/>
      <c r="N154" s="159"/>
      <c r="O154" s="157"/>
      <c r="P154" s="66">
        <v>0</v>
      </c>
      <c r="Q154" s="66">
        <v>0</v>
      </c>
      <c r="R154" s="66">
        <v>0</v>
      </c>
      <c r="S154" s="88">
        <f>SUM(P154:R154)</f>
        <v>0</v>
      </c>
      <c r="T154" s="158"/>
      <c r="U154" s="159"/>
      <c r="V154" s="159"/>
      <c r="W154" s="159"/>
      <c r="X154" s="159"/>
      <c r="Y154" s="157"/>
    </row>
    <row r="155" spans="1:25" customHeight="1" ht="48">
      <c r="A155" s="89" t="s">
        <v>934</v>
      </c>
      <c r="B155" s="90"/>
      <c r="C155" s="90"/>
      <c r="D155" s="90"/>
      <c r="E155" s="100">
        <f>SUM(B155:D155)</f>
        <v>0</v>
      </c>
      <c r="F155" s="180"/>
      <c r="G155" s="181"/>
      <c r="H155" s="181"/>
      <c r="I155" s="181"/>
      <c r="J155" s="181"/>
      <c r="K155" s="179"/>
      <c r="L155" s="195" t="s">
        <v>935</v>
      </c>
      <c r="M155" s="181"/>
      <c r="N155" s="181"/>
      <c r="O155" s="179"/>
      <c r="P155" s="90">
        <v>0</v>
      </c>
      <c r="Q155" s="90">
        <v>0</v>
      </c>
      <c r="R155" s="90">
        <v>0</v>
      </c>
      <c r="S155" s="100">
        <f>SUM(P155:R155)</f>
        <v>0</v>
      </c>
      <c r="T155" s="180"/>
      <c r="U155" s="181"/>
      <c r="V155" s="181"/>
      <c r="W155" s="181"/>
      <c r="X155" s="181"/>
      <c r="Y155" s="179"/>
    </row>
    <row r="156" spans="1:25">
      <c r="A156" s="142" t="s">
        <v>936</v>
      </c>
      <c r="B156" s="134"/>
      <c r="C156" s="134"/>
      <c r="D156" s="134"/>
      <c r="E156" s="134"/>
      <c r="F156" s="134"/>
      <c r="G156" s="134"/>
      <c r="H156" s="134"/>
      <c r="I156" s="134"/>
      <c r="J156" s="134"/>
      <c r="K156" s="134"/>
      <c r="L156" s="134"/>
      <c r="M156" s="134"/>
      <c r="N156" s="134"/>
      <c r="O156" s="134"/>
      <c r="P156" s="134"/>
      <c r="Q156" s="134"/>
      <c r="R156" s="134"/>
      <c r="S156" s="134"/>
      <c r="T156" s="134"/>
      <c r="U156" s="134"/>
      <c r="V156" s="134"/>
      <c r="W156" s="134"/>
      <c r="X156" s="134"/>
      <c r="Y156" s="135"/>
    </row>
    <row r="157" spans="1:25">
      <c r="A157" s="148" t="s">
        <v>773</v>
      </c>
      <c r="B157" s="133" t="s">
        <v>830</v>
      </c>
      <c r="C157" s="135"/>
      <c r="D157" s="136" t="s">
        <v>833</v>
      </c>
      <c r="E157" s="127" t="s">
        <v>736</v>
      </c>
      <c r="F157" s="128"/>
      <c r="G157" s="128"/>
      <c r="H157" s="128"/>
      <c r="I157" s="128"/>
      <c r="J157" s="128"/>
      <c r="K157" s="129"/>
      <c r="L157" s="152" t="s">
        <v>773</v>
      </c>
      <c r="M157" s="128"/>
      <c r="N157" s="128"/>
      <c r="O157" s="129"/>
      <c r="P157" s="133" t="s">
        <v>830</v>
      </c>
      <c r="Q157" s="135"/>
      <c r="R157" s="136" t="s">
        <v>833</v>
      </c>
      <c r="S157" s="127" t="s">
        <v>736</v>
      </c>
      <c r="T157" s="128"/>
      <c r="U157" s="128"/>
      <c r="V157" s="128"/>
      <c r="W157" s="128"/>
      <c r="X157" s="128"/>
      <c r="Y157" s="129"/>
    </row>
    <row r="158" spans="1:25">
      <c r="A158" s="137"/>
      <c r="B158" s="63" t="s">
        <v>831</v>
      </c>
      <c r="C158" s="63" t="s">
        <v>832</v>
      </c>
      <c r="D158" s="137"/>
      <c r="E158" s="130"/>
      <c r="F158" s="131"/>
      <c r="G158" s="131"/>
      <c r="H158" s="131"/>
      <c r="I158" s="131"/>
      <c r="J158" s="131"/>
      <c r="K158" s="132"/>
      <c r="L158" s="130"/>
      <c r="M158" s="131"/>
      <c r="N158" s="131"/>
      <c r="O158" s="132"/>
      <c r="P158" s="63" t="s">
        <v>831</v>
      </c>
      <c r="Q158" s="63" t="s">
        <v>832</v>
      </c>
      <c r="R158" s="137"/>
      <c r="S158" s="130"/>
      <c r="T158" s="131"/>
      <c r="U158" s="131"/>
      <c r="V158" s="131"/>
      <c r="W158" s="131"/>
      <c r="X158" s="131"/>
      <c r="Y158" s="132"/>
    </row>
    <row r="159" spans="1:25">
      <c r="A159" s="196" t="s">
        <v>937</v>
      </c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</row>
    <row r="160" spans="1:25" customHeight="1" ht="36">
      <c r="A160" s="70" t="s">
        <v>938</v>
      </c>
      <c r="B160" s="66"/>
      <c r="C160" s="66"/>
      <c r="D160" s="88">
        <f>SUM(B160:C160)</f>
        <v>0</v>
      </c>
      <c r="E160" s="158"/>
      <c r="F160" s="159"/>
      <c r="G160" s="159"/>
      <c r="H160" s="159"/>
      <c r="I160" s="159"/>
      <c r="J160" s="159"/>
      <c r="K160" s="157"/>
      <c r="L160" s="160" t="s">
        <v>939</v>
      </c>
      <c r="M160" s="159"/>
      <c r="N160" s="159"/>
      <c r="O160" s="157"/>
      <c r="P160" s="66"/>
      <c r="Q160" s="66"/>
      <c r="R160" s="88">
        <f>SUM(P160:Q160)</f>
        <v>0</v>
      </c>
      <c r="S160" s="158"/>
      <c r="T160" s="159"/>
      <c r="U160" s="159"/>
      <c r="V160" s="159"/>
      <c r="W160" s="159"/>
      <c r="X160" s="159"/>
      <c r="Y160" s="157"/>
    </row>
    <row r="161" spans="1:25">
      <c r="A161" s="70" t="s">
        <v>940</v>
      </c>
      <c r="B161" s="66"/>
      <c r="C161" s="66"/>
      <c r="D161" s="88">
        <f>SUM(B161:C161)</f>
        <v>0</v>
      </c>
      <c r="E161" s="158"/>
      <c r="F161" s="159"/>
      <c r="G161" s="159"/>
      <c r="H161" s="159"/>
      <c r="I161" s="159"/>
      <c r="J161" s="159"/>
      <c r="K161" s="157"/>
      <c r="L161" s="160" t="s">
        <v>941</v>
      </c>
      <c r="M161" s="159"/>
      <c r="N161" s="159"/>
      <c r="O161" s="157"/>
      <c r="P161" s="66"/>
      <c r="Q161" s="66"/>
      <c r="R161" s="88">
        <f>SUM(P161:Q161)</f>
        <v>0</v>
      </c>
      <c r="S161" s="158"/>
      <c r="T161" s="159"/>
      <c r="U161" s="159"/>
      <c r="V161" s="159"/>
      <c r="W161" s="159"/>
      <c r="X161" s="159"/>
      <c r="Y161" s="157"/>
    </row>
    <row r="162" spans="1:25">
      <c r="A162" s="70" t="s">
        <v>942</v>
      </c>
      <c r="B162" s="66"/>
      <c r="C162" s="66"/>
      <c r="D162" s="88">
        <f>SUM(B162:C162)</f>
        <v>0</v>
      </c>
      <c r="E162" s="158"/>
      <c r="F162" s="159"/>
      <c r="G162" s="159"/>
      <c r="H162" s="159"/>
      <c r="I162" s="159"/>
      <c r="J162" s="159"/>
      <c r="K162" s="157"/>
      <c r="L162" s="160" t="s">
        <v>943</v>
      </c>
      <c r="M162" s="159"/>
      <c r="N162" s="159"/>
      <c r="O162" s="157"/>
      <c r="P162" s="66"/>
      <c r="Q162" s="66"/>
      <c r="R162" s="88">
        <f>SUM(P162:Q162)</f>
        <v>0</v>
      </c>
      <c r="S162" s="158"/>
      <c r="T162" s="159"/>
      <c r="U162" s="159"/>
      <c r="V162" s="159"/>
      <c r="W162" s="159"/>
      <c r="X162" s="159"/>
      <c r="Y162" s="157"/>
    </row>
    <row r="163" spans="1:25">
      <c r="A163" s="70" t="s">
        <v>944</v>
      </c>
      <c r="B163" s="66"/>
      <c r="C163" s="66"/>
      <c r="D163" s="88">
        <f>SUM(B163:C163)</f>
        <v>0</v>
      </c>
      <c r="E163" s="158"/>
      <c r="F163" s="159"/>
      <c r="G163" s="159"/>
      <c r="H163" s="159"/>
      <c r="I163" s="159"/>
      <c r="J163" s="159"/>
      <c r="K163" s="157"/>
      <c r="L163" s="160" t="s">
        <v>945</v>
      </c>
      <c r="M163" s="159"/>
      <c r="N163" s="159"/>
      <c r="O163" s="157"/>
      <c r="P163" s="66"/>
      <c r="Q163" s="66"/>
      <c r="R163" s="88">
        <f>SUM(P163:Q163)</f>
        <v>0</v>
      </c>
      <c r="S163" s="158"/>
      <c r="T163" s="159"/>
      <c r="U163" s="159"/>
      <c r="V163" s="159"/>
      <c r="W163" s="159"/>
      <c r="X163" s="159"/>
      <c r="Y163" s="157"/>
    </row>
    <row r="164" spans="1:25">
      <c r="A164" s="70" t="s">
        <v>946</v>
      </c>
      <c r="B164" s="66"/>
      <c r="C164" s="66"/>
      <c r="D164" s="88">
        <f>SUM(B164:C164)</f>
        <v>0</v>
      </c>
      <c r="E164" s="158"/>
      <c r="F164" s="159"/>
      <c r="G164" s="159"/>
      <c r="H164" s="159"/>
      <c r="I164" s="159"/>
      <c r="J164" s="159"/>
      <c r="K164" s="157"/>
      <c r="L164" s="160" t="s">
        <v>947</v>
      </c>
      <c r="M164" s="159"/>
      <c r="N164" s="159"/>
      <c r="O164" s="157"/>
      <c r="P164" s="66"/>
      <c r="Q164" s="66"/>
      <c r="R164" s="88">
        <f>SUM(P164:Q164)</f>
        <v>0</v>
      </c>
      <c r="S164" s="158"/>
      <c r="T164" s="159"/>
      <c r="U164" s="159"/>
      <c r="V164" s="159"/>
      <c r="W164" s="159"/>
      <c r="X164" s="159"/>
      <c r="Y164" s="157"/>
    </row>
    <row r="165" spans="1:25">
      <c r="A165" s="70" t="s">
        <v>948</v>
      </c>
      <c r="B165" s="66"/>
      <c r="C165" s="66"/>
      <c r="D165" s="88">
        <f>SUM(B165:C165)</f>
        <v>0</v>
      </c>
      <c r="E165" s="158"/>
      <c r="F165" s="159"/>
      <c r="G165" s="159"/>
      <c r="H165" s="159"/>
      <c r="I165" s="159"/>
      <c r="J165" s="159"/>
      <c r="K165" s="157"/>
      <c r="L165" s="160" t="s">
        <v>949</v>
      </c>
      <c r="M165" s="159"/>
      <c r="N165" s="159"/>
      <c r="O165" s="157"/>
      <c r="P165" s="66"/>
      <c r="Q165" s="66"/>
      <c r="R165" s="88">
        <f>SUM(P165:Q165)</f>
        <v>0</v>
      </c>
      <c r="S165" s="158"/>
      <c r="T165" s="159"/>
      <c r="U165" s="159"/>
      <c r="V165" s="159"/>
      <c r="W165" s="159"/>
      <c r="X165" s="159"/>
      <c r="Y165" s="157"/>
    </row>
    <row r="166" spans="1:25">
      <c r="A166" s="70" t="s">
        <v>950</v>
      </c>
      <c r="B166" s="66"/>
      <c r="C166" s="66"/>
      <c r="D166" s="88">
        <f>SUM(B166:C166)</f>
        <v>0</v>
      </c>
      <c r="E166" s="158"/>
      <c r="F166" s="159"/>
      <c r="G166" s="159"/>
      <c r="H166" s="159"/>
      <c r="I166" s="159"/>
      <c r="J166" s="159"/>
      <c r="K166" s="157"/>
      <c r="L166" s="160" t="s">
        <v>951</v>
      </c>
      <c r="M166" s="159"/>
      <c r="N166" s="159"/>
      <c r="O166" s="157"/>
      <c r="P166" s="66"/>
      <c r="Q166" s="66"/>
      <c r="R166" s="88">
        <f>SUM(P166:Q166)</f>
        <v>0</v>
      </c>
      <c r="S166" s="158"/>
      <c r="T166" s="159"/>
      <c r="U166" s="159"/>
      <c r="V166" s="159"/>
      <c r="W166" s="159"/>
      <c r="X166" s="159"/>
      <c r="Y166" s="157"/>
    </row>
    <row r="167" spans="1:25">
      <c r="A167" s="196" t="s">
        <v>952</v>
      </c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96" t="s">
        <v>953</v>
      </c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</row>
    <row r="168" spans="1:25" customHeight="1" ht="36">
      <c r="A168" s="70" t="s">
        <v>954</v>
      </c>
      <c r="B168" s="66"/>
      <c r="C168" s="66"/>
      <c r="D168" s="88">
        <f>SUM(B168:C168)</f>
        <v>0</v>
      </c>
      <c r="E168" s="158"/>
      <c r="F168" s="159"/>
      <c r="G168" s="159"/>
      <c r="H168" s="159"/>
      <c r="I168" s="159"/>
      <c r="J168" s="159"/>
      <c r="K168" s="157"/>
      <c r="L168" s="160" t="s">
        <v>955</v>
      </c>
      <c r="M168" s="159"/>
      <c r="N168" s="159"/>
      <c r="O168" s="157"/>
      <c r="P168" s="66"/>
      <c r="Q168" s="66"/>
      <c r="R168" s="88">
        <f>SUM(P168:Q168)</f>
        <v>0</v>
      </c>
      <c r="S168" s="158"/>
      <c r="T168" s="159"/>
      <c r="U168" s="159"/>
      <c r="V168" s="159"/>
      <c r="W168" s="159"/>
      <c r="X168" s="159"/>
      <c r="Y168" s="157"/>
    </row>
    <row r="169" spans="1:25" customHeight="1" ht="36">
      <c r="A169" s="70" t="s">
        <v>956</v>
      </c>
      <c r="B169" s="88">
        <f>SUM(B170:B171)</f>
        <v>0</v>
      </c>
      <c r="C169" s="88">
        <f>SUM(C170:C171)</f>
        <v>0</v>
      </c>
      <c r="D169" s="88">
        <f>SUM(B169:C169)</f>
        <v>0</v>
      </c>
      <c r="E169" s="158"/>
      <c r="F169" s="159"/>
      <c r="G169" s="159"/>
      <c r="H169" s="159"/>
      <c r="I169" s="159"/>
      <c r="J169" s="159"/>
      <c r="K169" s="157"/>
      <c r="L169" s="160" t="s">
        <v>957</v>
      </c>
      <c r="M169" s="159"/>
      <c r="N169" s="159"/>
      <c r="O169" s="157"/>
      <c r="P169" s="88">
        <f>SUM(P170:P171)</f>
        <v>0</v>
      </c>
      <c r="Q169" s="88">
        <f>SUM(Q170:Q171)</f>
        <v>0</v>
      </c>
      <c r="R169" s="88">
        <f>SUM(P169:Q169)</f>
        <v>0</v>
      </c>
      <c r="S169" s="158"/>
      <c r="T169" s="159"/>
      <c r="U169" s="159"/>
      <c r="V169" s="159"/>
      <c r="W169" s="159"/>
      <c r="X169" s="159"/>
      <c r="Y169" s="157"/>
    </row>
    <row r="170" spans="1:25">
      <c r="A170" s="70" t="s">
        <v>958</v>
      </c>
      <c r="B170" s="66"/>
      <c r="C170" s="66"/>
      <c r="D170" s="88">
        <f>SUM(B170:C170)</f>
        <v>0</v>
      </c>
      <c r="E170" s="158"/>
      <c r="F170" s="159"/>
      <c r="G170" s="159"/>
      <c r="H170" s="159"/>
      <c r="I170" s="159"/>
      <c r="J170" s="159"/>
      <c r="K170" s="157"/>
      <c r="L170" s="160" t="s">
        <v>958</v>
      </c>
      <c r="M170" s="159"/>
      <c r="N170" s="159"/>
      <c r="O170" s="157"/>
      <c r="P170" s="66"/>
      <c r="Q170" s="66"/>
      <c r="R170" s="88">
        <f>SUM(P170:Q170)</f>
        <v>0</v>
      </c>
      <c r="S170" s="158"/>
      <c r="T170" s="159"/>
      <c r="U170" s="159"/>
      <c r="V170" s="159"/>
      <c r="W170" s="159"/>
      <c r="X170" s="159"/>
      <c r="Y170" s="157"/>
    </row>
    <row r="171" spans="1:25">
      <c r="A171" s="70" t="s">
        <v>959</v>
      </c>
      <c r="B171" s="66"/>
      <c r="C171" s="66"/>
      <c r="D171" s="88">
        <f>SUM(B171:C171)</f>
        <v>0</v>
      </c>
      <c r="E171" s="158"/>
      <c r="F171" s="159"/>
      <c r="G171" s="159"/>
      <c r="H171" s="159"/>
      <c r="I171" s="159"/>
      <c r="J171" s="159"/>
      <c r="K171" s="157"/>
      <c r="L171" s="160" t="s">
        <v>959</v>
      </c>
      <c r="M171" s="159"/>
      <c r="N171" s="159"/>
      <c r="O171" s="157"/>
      <c r="P171" s="66"/>
      <c r="Q171" s="66"/>
      <c r="R171" s="88">
        <f>SUM(P171:Q171)</f>
        <v>0</v>
      </c>
      <c r="S171" s="158"/>
      <c r="T171" s="159"/>
      <c r="U171" s="159"/>
      <c r="V171" s="159"/>
      <c r="W171" s="159"/>
      <c r="X171" s="159"/>
      <c r="Y171" s="157"/>
    </row>
    <row r="172" spans="1:25" customHeight="1" ht="48">
      <c r="A172" s="70" t="s">
        <v>960</v>
      </c>
      <c r="B172" s="66"/>
      <c r="C172" s="66"/>
      <c r="D172" s="88">
        <f>SUM(B172:C172)</f>
        <v>0</v>
      </c>
      <c r="E172" s="158"/>
      <c r="F172" s="159"/>
      <c r="G172" s="159"/>
      <c r="H172" s="159"/>
      <c r="I172" s="159"/>
      <c r="J172" s="159"/>
      <c r="K172" s="157"/>
      <c r="L172" s="160" t="s">
        <v>961</v>
      </c>
      <c r="M172" s="159"/>
      <c r="N172" s="159"/>
      <c r="O172" s="157"/>
      <c r="P172" s="66"/>
      <c r="Q172" s="66"/>
      <c r="R172" s="88">
        <f>SUM(P172:Q172)</f>
        <v>0</v>
      </c>
      <c r="S172" s="158"/>
      <c r="T172" s="159"/>
      <c r="U172" s="159"/>
      <c r="V172" s="159"/>
      <c r="W172" s="159"/>
      <c r="X172" s="159"/>
      <c r="Y172" s="157"/>
    </row>
    <row r="173" spans="1:25" customHeight="1" ht="36">
      <c r="A173" s="70" t="s">
        <v>962</v>
      </c>
      <c r="B173" s="88">
        <f>SUM(B174:B175)</f>
        <v>0</v>
      </c>
      <c r="C173" s="88">
        <f>SUM(C174:C175)</f>
        <v>0</v>
      </c>
      <c r="D173" s="88">
        <f>SUM(B173:C173)</f>
        <v>0</v>
      </c>
      <c r="E173" s="158"/>
      <c r="F173" s="159"/>
      <c r="G173" s="159"/>
      <c r="H173" s="159"/>
      <c r="I173" s="159"/>
      <c r="J173" s="159"/>
      <c r="K173" s="157"/>
      <c r="L173" s="160" t="s">
        <v>963</v>
      </c>
      <c r="M173" s="159"/>
      <c r="N173" s="159"/>
      <c r="O173" s="157"/>
      <c r="P173" s="88">
        <f>SUM(P174:P175)</f>
        <v>0</v>
      </c>
      <c r="Q173" s="88">
        <f>SUM(Q174:Q175)</f>
        <v>0</v>
      </c>
      <c r="R173" s="88">
        <f>SUM(P173:Q173)</f>
        <v>0</v>
      </c>
      <c r="S173" s="158"/>
      <c r="T173" s="159"/>
      <c r="U173" s="159"/>
      <c r="V173" s="159"/>
      <c r="W173" s="159"/>
      <c r="X173" s="159"/>
      <c r="Y173" s="157"/>
    </row>
    <row r="174" spans="1:25">
      <c r="A174" s="70" t="s">
        <v>964</v>
      </c>
      <c r="B174" s="66"/>
      <c r="C174" s="66"/>
      <c r="D174" s="88">
        <f>SUM(B174:C174)</f>
        <v>0</v>
      </c>
      <c r="E174" s="158"/>
      <c r="F174" s="159"/>
      <c r="G174" s="159"/>
      <c r="H174" s="159"/>
      <c r="I174" s="159"/>
      <c r="J174" s="159"/>
      <c r="K174" s="157"/>
      <c r="L174" s="160" t="s">
        <v>964</v>
      </c>
      <c r="M174" s="159"/>
      <c r="N174" s="159"/>
      <c r="O174" s="157"/>
      <c r="P174" s="66"/>
      <c r="Q174" s="66"/>
      <c r="R174" s="88">
        <f>SUM(P174:Q174)</f>
        <v>0</v>
      </c>
      <c r="S174" s="158"/>
      <c r="T174" s="159"/>
      <c r="U174" s="159"/>
      <c r="V174" s="159"/>
      <c r="W174" s="159"/>
      <c r="X174" s="159"/>
      <c r="Y174" s="157"/>
    </row>
    <row r="175" spans="1:25">
      <c r="A175" s="70" t="s">
        <v>965</v>
      </c>
      <c r="B175" s="66"/>
      <c r="C175" s="66"/>
      <c r="D175" s="88">
        <f>SUM(B175:C175)</f>
        <v>0</v>
      </c>
      <c r="E175" s="158"/>
      <c r="F175" s="159"/>
      <c r="G175" s="159"/>
      <c r="H175" s="159"/>
      <c r="I175" s="159"/>
      <c r="J175" s="159"/>
      <c r="K175" s="157"/>
      <c r="L175" s="160" t="s">
        <v>965</v>
      </c>
      <c r="M175" s="159"/>
      <c r="N175" s="159"/>
      <c r="O175" s="157"/>
      <c r="P175" s="66"/>
      <c r="Q175" s="66"/>
      <c r="R175" s="88">
        <f>SUM(P175:Q175)</f>
        <v>0</v>
      </c>
      <c r="S175" s="158"/>
      <c r="T175" s="159"/>
      <c r="U175" s="159"/>
      <c r="V175" s="159"/>
      <c r="W175" s="159"/>
      <c r="X175" s="159"/>
      <c r="Y175" s="157"/>
    </row>
    <row r="176" spans="1:25">
      <c r="A176" s="148" t="s">
        <v>773</v>
      </c>
      <c r="B176" s="133" t="s">
        <v>830</v>
      </c>
      <c r="C176" s="135"/>
      <c r="D176" s="136" t="s">
        <v>833</v>
      </c>
      <c r="E176" s="127" t="s">
        <v>736</v>
      </c>
      <c r="F176" s="128"/>
      <c r="G176" s="128"/>
      <c r="H176" s="128"/>
      <c r="I176" s="128"/>
      <c r="J176" s="128"/>
      <c r="K176" s="129"/>
      <c r="L176" s="152" t="s">
        <v>773</v>
      </c>
      <c r="M176" s="128"/>
      <c r="N176" s="128"/>
      <c r="O176" s="129"/>
      <c r="P176" s="133" t="s">
        <v>830</v>
      </c>
      <c r="Q176" s="135"/>
      <c r="R176" s="136" t="s">
        <v>833</v>
      </c>
      <c r="S176" s="127" t="s">
        <v>736</v>
      </c>
      <c r="T176" s="128"/>
      <c r="U176" s="128"/>
      <c r="V176" s="128"/>
      <c r="W176" s="128"/>
      <c r="X176" s="128"/>
      <c r="Y176" s="129"/>
    </row>
    <row r="177" spans="1:25">
      <c r="A177" s="137"/>
      <c r="B177" s="63" t="s">
        <v>831</v>
      </c>
      <c r="C177" s="63" t="s">
        <v>832</v>
      </c>
      <c r="D177" s="137"/>
      <c r="E177" s="130"/>
      <c r="F177" s="131"/>
      <c r="G177" s="131"/>
      <c r="H177" s="131"/>
      <c r="I177" s="131"/>
      <c r="J177" s="131"/>
      <c r="K177" s="132"/>
      <c r="L177" s="130"/>
      <c r="M177" s="131"/>
      <c r="N177" s="131"/>
      <c r="O177" s="132"/>
      <c r="P177" s="63" t="s">
        <v>831</v>
      </c>
      <c r="Q177" s="63" t="s">
        <v>832</v>
      </c>
      <c r="R177" s="137"/>
      <c r="S177" s="130"/>
      <c r="T177" s="131"/>
      <c r="U177" s="131"/>
      <c r="V177" s="131"/>
      <c r="W177" s="131"/>
      <c r="X177" s="131"/>
      <c r="Y177" s="132"/>
    </row>
    <row r="178" spans="1:25">
      <c r="A178" s="196" t="s">
        <v>966</v>
      </c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96" t="s">
        <v>967</v>
      </c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</row>
    <row r="179" spans="1:25" customHeight="1" ht="36">
      <c r="A179" s="70" t="s">
        <v>968</v>
      </c>
      <c r="B179" s="66"/>
      <c r="C179" s="66"/>
      <c r="D179" s="88">
        <f>SUM(B179:C179)</f>
        <v>0</v>
      </c>
      <c r="E179" s="158"/>
      <c r="F179" s="159"/>
      <c r="G179" s="159"/>
      <c r="H179" s="159"/>
      <c r="I179" s="159"/>
      <c r="J179" s="159"/>
      <c r="K179" s="157"/>
      <c r="L179" s="160" t="s">
        <v>969</v>
      </c>
      <c r="M179" s="159"/>
      <c r="N179" s="159"/>
      <c r="O179" s="157"/>
      <c r="P179" s="66"/>
      <c r="Q179" s="66"/>
      <c r="R179" s="88">
        <f>SUM(P179:Q179)</f>
        <v>0</v>
      </c>
      <c r="S179" s="158"/>
      <c r="T179" s="159"/>
      <c r="U179" s="159"/>
      <c r="V179" s="159"/>
      <c r="W179" s="159"/>
      <c r="X179" s="159"/>
      <c r="Y179" s="157"/>
    </row>
    <row r="180" spans="1:25" customHeight="1" ht="48">
      <c r="A180" s="70" t="s">
        <v>970</v>
      </c>
      <c r="B180" s="66"/>
      <c r="C180" s="66"/>
      <c r="D180" s="88">
        <f>SUM(B180:C180)</f>
        <v>0</v>
      </c>
      <c r="E180" s="158"/>
      <c r="F180" s="159"/>
      <c r="G180" s="159"/>
      <c r="H180" s="159"/>
      <c r="I180" s="159"/>
      <c r="J180" s="159"/>
      <c r="K180" s="157"/>
      <c r="L180" s="160" t="s">
        <v>971</v>
      </c>
      <c r="M180" s="159"/>
      <c r="N180" s="159"/>
      <c r="O180" s="157"/>
      <c r="P180" s="66"/>
      <c r="Q180" s="66"/>
      <c r="R180" s="88">
        <f>SUM(P180:Q180)</f>
        <v>0</v>
      </c>
      <c r="S180" s="158"/>
      <c r="T180" s="159"/>
      <c r="U180" s="159"/>
      <c r="V180" s="159"/>
      <c r="W180" s="159"/>
      <c r="X180" s="159"/>
      <c r="Y180" s="157"/>
    </row>
    <row r="181" spans="1:25" customHeight="1" ht="36">
      <c r="A181" s="70" t="s">
        <v>972</v>
      </c>
      <c r="B181" s="66"/>
      <c r="C181" s="66"/>
      <c r="D181" s="88">
        <f>SUM(B181:C181)</f>
        <v>0</v>
      </c>
      <c r="E181" s="158"/>
      <c r="F181" s="159"/>
      <c r="G181" s="159"/>
      <c r="H181" s="159"/>
      <c r="I181" s="159"/>
      <c r="J181" s="159"/>
      <c r="K181" s="157"/>
      <c r="L181" s="160" t="s">
        <v>973</v>
      </c>
      <c r="M181" s="159"/>
      <c r="N181" s="159"/>
      <c r="O181" s="157"/>
      <c r="P181" s="66"/>
      <c r="Q181" s="66"/>
      <c r="R181" s="88">
        <f>SUM(P181:Q181)</f>
        <v>0</v>
      </c>
      <c r="S181" s="158"/>
      <c r="T181" s="159"/>
      <c r="U181" s="159"/>
      <c r="V181" s="159"/>
      <c r="W181" s="159"/>
      <c r="X181" s="159"/>
      <c r="Y181" s="157"/>
    </row>
    <row r="182" spans="1:25">
      <c r="A182" s="198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60" t="s">
        <v>974</v>
      </c>
      <c r="M182" s="159"/>
      <c r="N182" s="159"/>
      <c r="O182" s="157"/>
      <c r="P182" s="66"/>
      <c r="Q182" s="66"/>
      <c r="R182" s="88">
        <f>SUM(P182:Q182)</f>
        <v>0</v>
      </c>
      <c r="S182" s="158"/>
      <c r="T182" s="159"/>
      <c r="U182" s="159"/>
      <c r="V182" s="159"/>
      <c r="W182" s="159"/>
      <c r="X182" s="159"/>
      <c r="Y182" s="157"/>
    </row>
    <row r="183" spans="1:25">
      <c r="A183" s="197" t="s">
        <v>975</v>
      </c>
      <c r="B183" s="159"/>
      <c r="C183" s="159"/>
      <c r="D183" s="159"/>
      <c r="E183" s="159"/>
      <c r="F183" s="159"/>
      <c r="G183" s="159"/>
      <c r="H183" s="159"/>
      <c r="I183" s="159"/>
      <c r="J183" s="159"/>
      <c r="K183" s="157"/>
      <c r="L183" s="197" t="s">
        <v>976</v>
      </c>
      <c r="M183" s="159"/>
      <c r="N183" s="159"/>
      <c r="O183" s="159"/>
      <c r="P183" s="159"/>
      <c r="Q183" s="159"/>
      <c r="R183" s="159"/>
      <c r="S183" s="159"/>
      <c r="T183" s="159"/>
      <c r="U183" s="159"/>
      <c r="V183" s="159"/>
      <c r="W183" s="159"/>
      <c r="X183" s="159"/>
      <c r="Y183" s="157"/>
    </row>
    <row r="184" spans="1:25" customHeight="1" ht="36">
      <c r="A184" s="70" t="s">
        <v>977</v>
      </c>
      <c r="B184" s="88">
        <f>SUM(B185:B188)</f>
        <v>0</v>
      </c>
      <c r="C184" s="88">
        <f>SUM(C185:C188)</f>
        <v>0</v>
      </c>
      <c r="D184" s="88">
        <f>SUM(B184:C184)</f>
        <v>0</v>
      </c>
      <c r="E184" s="158"/>
      <c r="F184" s="159"/>
      <c r="G184" s="159"/>
      <c r="H184" s="159"/>
      <c r="I184" s="159"/>
      <c r="J184" s="159"/>
      <c r="K184" s="157"/>
      <c r="L184" s="160" t="s">
        <v>978</v>
      </c>
      <c r="M184" s="159"/>
      <c r="N184" s="159"/>
      <c r="O184" s="157"/>
      <c r="P184" s="66"/>
      <c r="Q184" s="66"/>
      <c r="R184" s="88">
        <f>SUM(P184:Q184)</f>
        <v>0</v>
      </c>
      <c r="S184" s="158"/>
      <c r="T184" s="159"/>
      <c r="U184" s="159"/>
      <c r="V184" s="159"/>
      <c r="W184" s="159"/>
      <c r="X184" s="159"/>
      <c r="Y184" s="157"/>
    </row>
    <row r="185" spans="1:25">
      <c r="A185" s="70" t="s">
        <v>979</v>
      </c>
      <c r="B185" s="66"/>
      <c r="C185" s="66"/>
      <c r="D185" s="88">
        <f>SUM(B185:C185)</f>
        <v>0</v>
      </c>
      <c r="E185" s="158"/>
      <c r="F185" s="159"/>
      <c r="G185" s="159"/>
      <c r="H185" s="159"/>
      <c r="I185" s="159"/>
      <c r="J185" s="159"/>
      <c r="K185" s="157"/>
      <c r="L185" s="160" t="s">
        <v>980</v>
      </c>
      <c r="M185" s="159"/>
      <c r="N185" s="159"/>
      <c r="O185" s="157"/>
      <c r="P185" s="66"/>
      <c r="Q185" s="66"/>
      <c r="R185" s="88">
        <f>SUM(P185:Q185)</f>
        <v>0</v>
      </c>
      <c r="S185" s="158"/>
      <c r="T185" s="159"/>
      <c r="U185" s="159"/>
      <c r="V185" s="159"/>
      <c r="W185" s="159"/>
      <c r="X185" s="159"/>
      <c r="Y185" s="157"/>
    </row>
    <row r="186" spans="1:25">
      <c r="A186" s="70" t="s">
        <v>981</v>
      </c>
      <c r="B186" s="66"/>
      <c r="C186" s="66"/>
      <c r="D186" s="88">
        <f>SUM(B186:C186)</f>
        <v>0</v>
      </c>
      <c r="E186" s="158"/>
      <c r="F186" s="159"/>
      <c r="G186" s="159"/>
      <c r="H186" s="159"/>
      <c r="I186" s="159"/>
      <c r="J186" s="159"/>
      <c r="K186" s="157"/>
      <c r="L186" s="160" t="s">
        <v>982</v>
      </c>
      <c r="M186" s="159"/>
      <c r="N186" s="159"/>
      <c r="O186" s="157"/>
      <c r="P186" s="66"/>
      <c r="Q186" s="66"/>
      <c r="R186" s="88">
        <f>SUM(P186:Q186)</f>
        <v>0</v>
      </c>
      <c r="S186" s="158"/>
      <c r="T186" s="159"/>
      <c r="U186" s="159"/>
      <c r="V186" s="159"/>
      <c r="W186" s="159"/>
      <c r="X186" s="159"/>
      <c r="Y186" s="157"/>
    </row>
    <row r="187" spans="1:25">
      <c r="A187" s="70" t="s">
        <v>983</v>
      </c>
      <c r="B187" s="66"/>
      <c r="C187" s="66"/>
      <c r="D187" s="88">
        <f>SUM(B187:C187)</f>
        <v>0</v>
      </c>
      <c r="E187" s="158"/>
      <c r="F187" s="159"/>
      <c r="G187" s="159"/>
      <c r="H187" s="159"/>
      <c r="I187" s="159"/>
      <c r="J187" s="159"/>
      <c r="K187" s="157"/>
      <c r="L187" s="160" t="s">
        <v>984</v>
      </c>
      <c r="M187" s="159"/>
      <c r="N187" s="159"/>
      <c r="O187" s="157"/>
      <c r="P187" s="66"/>
      <c r="Q187" s="66"/>
      <c r="R187" s="88">
        <f>SUM(P187:Q187)</f>
        <v>0</v>
      </c>
      <c r="S187" s="158"/>
      <c r="T187" s="159"/>
      <c r="U187" s="159"/>
      <c r="V187" s="159"/>
      <c r="W187" s="159"/>
      <c r="X187" s="159"/>
      <c r="Y187" s="157"/>
    </row>
    <row r="188" spans="1:25">
      <c r="A188" s="70" t="s">
        <v>985</v>
      </c>
      <c r="B188" s="66"/>
      <c r="C188" s="66"/>
      <c r="D188" s="88">
        <f>SUM(B188:C188)</f>
        <v>0</v>
      </c>
      <c r="E188" s="158"/>
      <c r="F188" s="159"/>
      <c r="G188" s="159"/>
      <c r="H188" s="159"/>
      <c r="I188" s="159"/>
      <c r="J188" s="159"/>
      <c r="K188" s="157"/>
      <c r="L188" s="160" t="s">
        <v>986</v>
      </c>
      <c r="M188" s="159"/>
      <c r="N188" s="159"/>
      <c r="O188" s="157"/>
      <c r="P188" s="66"/>
      <c r="Q188" s="66"/>
      <c r="R188" s="88">
        <f>SUM(P188:Q188)</f>
        <v>0</v>
      </c>
      <c r="S188" s="158"/>
      <c r="T188" s="159"/>
      <c r="U188" s="159"/>
      <c r="V188" s="159"/>
      <c r="W188" s="159"/>
      <c r="X188" s="159"/>
      <c r="Y188" s="157"/>
    </row>
    <row r="189" spans="1:25" customHeight="1" ht="36">
      <c r="A189" s="70" t="s">
        <v>987</v>
      </c>
      <c r="B189" s="66"/>
      <c r="C189" s="66"/>
      <c r="D189" s="88">
        <f>SUM(B189:C189)</f>
        <v>0</v>
      </c>
      <c r="E189" s="158"/>
      <c r="F189" s="159"/>
      <c r="G189" s="159"/>
      <c r="H189" s="159"/>
      <c r="I189" s="159"/>
      <c r="J189" s="159"/>
      <c r="K189" s="157"/>
      <c r="L189" s="160" t="s">
        <v>988</v>
      </c>
      <c r="M189" s="159"/>
      <c r="N189" s="159"/>
      <c r="O189" s="157"/>
      <c r="P189" s="66"/>
      <c r="Q189" s="66"/>
      <c r="R189" s="88">
        <f>SUM(P189:Q189)</f>
        <v>0</v>
      </c>
      <c r="S189" s="158"/>
      <c r="T189" s="159"/>
      <c r="U189" s="159"/>
      <c r="V189" s="159"/>
      <c r="W189" s="159"/>
      <c r="X189" s="159"/>
      <c r="Y189" s="157"/>
    </row>
    <row r="190" spans="1:25" customHeight="1" ht="36">
      <c r="A190" s="70" t="s">
        <v>989</v>
      </c>
      <c r="B190" s="66"/>
      <c r="C190" s="66"/>
      <c r="D190" s="88">
        <f>SUM(B190:C190)</f>
        <v>0</v>
      </c>
      <c r="E190" s="158"/>
      <c r="F190" s="159"/>
      <c r="G190" s="159"/>
      <c r="H190" s="159"/>
      <c r="I190" s="159"/>
      <c r="J190" s="159"/>
      <c r="K190" s="157"/>
      <c r="L190" s="160" t="s">
        <v>990</v>
      </c>
      <c r="M190" s="159"/>
      <c r="N190" s="159"/>
      <c r="O190" s="157"/>
      <c r="P190" s="66"/>
      <c r="Q190" s="66"/>
      <c r="R190" s="88">
        <f>SUM(P190:Q190)</f>
        <v>0</v>
      </c>
      <c r="S190" s="158"/>
      <c r="T190" s="159"/>
      <c r="U190" s="159"/>
      <c r="V190" s="159"/>
      <c r="W190" s="159"/>
      <c r="X190" s="159"/>
      <c r="Y190" s="157"/>
    </row>
    <row r="191" spans="1:25">
      <c r="A191" s="66" t="s">
        <v>991</v>
      </c>
      <c r="B191" s="66"/>
      <c r="C191" s="66"/>
      <c r="D191" s="88">
        <f>SUM(B191:C191)</f>
        <v>0</v>
      </c>
      <c r="E191" s="158"/>
      <c r="F191" s="159"/>
      <c r="G191" s="159"/>
      <c r="H191" s="159"/>
      <c r="I191" s="159"/>
      <c r="J191" s="159"/>
      <c r="K191" s="157"/>
      <c r="L191" s="160" t="s">
        <v>992</v>
      </c>
      <c r="M191" s="159"/>
      <c r="N191" s="159"/>
      <c r="O191" s="157"/>
      <c r="P191" s="66"/>
      <c r="Q191" s="66"/>
      <c r="R191" s="88">
        <f>SUM(P191:Q191)</f>
        <v>0</v>
      </c>
      <c r="S191" s="158"/>
      <c r="T191" s="159"/>
      <c r="U191" s="159"/>
      <c r="V191" s="159"/>
      <c r="W191" s="159"/>
      <c r="X191" s="159"/>
      <c r="Y191" s="157"/>
    </row>
    <row r="192" spans="1:25">
      <c r="A192" s="66" t="s">
        <v>993</v>
      </c>
      <c r="B192" s="66"/>
      <c r="C192" s="66"/>
      <c r="D192" s="88">
        <f>SUM(B192:C192)</f>
        <v>0</v>
      </c>
      <c r="E192" s="158"/>
      <c r="F192" s="159"/>
      <c r="G192" s="159"/>
      <c r="H192" s="159"/>
      <c r="I192" s="159"/>
      <c r="J192" s="159"/>
      <c r="K192" s="157"/>
      <c r="L192" s="158" t="s">
        <v>994</v>
      </c>
      <c r="M192" s="159"/>
      <c r="N192" s="159"/>
      <c r="O192" s="157"/>
      <c r="P192" s="66"/>
      <c r="Q192" s="66"/>
      <c r="R192" s="88">
        <f>SUM(P192:Q192)</f>
        <v>0</v>
      </c>
      <c r="S192" s="158"/>
      <c r="T192" s="159"/>
      <c r="U192" s="159"/>
      <c r="V192" s="159"/>
      <c r="W192" s="159"/>
      <c r="X192" s="159"/>
      <c r="Y192" s="157"/>
    </row>
    <row r="193" spans="1:25" customHeight="1" ht="36">
      <c r="A193" s="70" t="s">
        <v>995</v>
      </c>
      <c r="B193" s="66"/>
      <c r="C193" s="66"/>
      <c r="D193" s="88">
        <f>SUM(B193:C193)</f>
        <v>0</v>
      </c>
      <c r="E193" s="158"/>
      <c r="F193" s="159"/>
      <c r="G193" s="159"/>
      <c r="H193" s="159"/>
      <c r="I193" s="159"/>
      <c r="J193" s="159"/>
      <c r="K193" s="157"/>
      <c r="L193" s="158" t="s">
        <v>996</v>
      </c>
      <c r="M193" s="159"/>
      <c r="N193" s="159"/>
      <c r="O193" s="157"/>
      <c r="P193" s="66"/>
      <c r="Q193" s="66"/>
      <c r="R193" s="88">
        <f>SUM(P193:Q193)</f>
        <v>0</v>
      </c>
      <c r="S193" s="158"/>
      <c r="T193" s="159"/>
      <c r="U193" s="159"/>
      <c r="V193" s="159"/>
      <c r="W193" s="159"/>
      <c r="X193" s="159"/>
      <c r="Y193" s="157"/>
    </row>
    <row r="194" spans="1:25" customHeight="1" ht="36">
      <c r="A194" s="70" t="s">
        <v>997</v>
      </c>
      <c r="B194" s="66"/>
      <c r="C194" s="66"/>
      <c r="D194" s="88">
        <f>SUM(B194:C194)</f>
        <v>0</v>
      </c>
      <c r="E194" s="158"/>
      <c r="F194" s="159"/>
      <c r="G194" s="159"/>
      <c r="H194" s="159"/>
      <c r="I194" s="159"/>
      <c r="J194" s="159"/>
      <c r="K194" s="157"/>
      <c r="L194" s="160" t="s">
        <v>998</v>
      </c>
      <c r="M194" s="159"/>
      <c r="N194" s="159"/>
      <c r="O194" s="157"/>
      <c r="P194" s="66"/>
      <c r="Q194" s="66"/>
      <c r="R194" s="88">
        <f>SUM(P194:Q194)</f>
        <v>0</v>
      </c>
      <c r="S194" s="158"/>
      <c r="T194" s="159"/>
      <c r="U194" s="159"/>
      <c r="V194" s="159"/>
      <c r="W194" s="159"/>
      <c r="X194" s="159"/>
      <c r="Y194" s="157"/>
    </row>
    <row r="195" spans="1:25">
      <c r="A195" s="70" t="s">
        <v>999</v>
      </c>
      <c r="B195" s="66"/>
      <c r="C195" s="66"/>
      <c r="D195" s="88">
        <f>SUM(B195:C195)</f>
        <v>0</v>
      </c>
      <c r="E195" s="158"/>
      <c r="F195" s="159"/>
      <c r="G195" s="159"/>
      <c r="H195" s="159"/>
      <c r="I195" s="159"/>
      <c r="J195" s="159"/>
      <c r="K195" s="157"/>
      <c r="L195" s="158" t="s">
        <v>1000</v>
      </c>
      <c r="M195" s="159"/>
      <c r="N195" s="159"/>
      <c r="O195" s="157"/>
      <c r="P195" s="66"/>
      <c r="Q195" s="66"/>
      <c r="R195" s="88">
        <f>SUM(P195:Q195)</f>
        <v>0</v>
      </c>
      <c r="S195" s="158"/>
      <c r="T195" s="159"/>
      <c r="U195" s="159"/>
      <c r="V195" s="159"/>
      <c r="W195" s="159"/>
      <c r="X195" s="159"/>
      <c r="Y195" s="157"/>
    </row>
    <row r="196" spans="1:25">
      <c r="A196" s="70" t="s">
        <v>1001</v>
      </c>
      <c r="B196" s="66"/>
      <c r="C196" s="66"/>
      <c r="D196" s="88">
        <f>SUM(B196:C196)</f>
        <v>0</v>
      </c>
      <c r="E196" s="158"/>
      <c r="F196" s="159"/>
      <c r="G196" s="159"/>
      <c r="H196" s="159"/>
      <c r="I196" s="159"/>
      <c r="J196" s="159"/>
      <c r="K196" s="157"/>
      <c r="L196" s="158" t="s">
        <v>1002</v>
      </c>
      <c r="M196" s="159"/>
      <c r="N196" s="159"/>
      <c r="O196" s="157"/>
      <c r="P196" s="66"/>
      <c r="Q196" s="66"/>
      <c r="R196" s="88">
        <f>SUM(P196:Q196)</f>
        <v>0</v>
      </c>
      <c r="S196" s="158"/>
      <c r="T196" s="159"/>
      <c r="U196" s="159"/>
      <c r="V196" s="159"/>
      <c r="W196" s="159"/>
      <c r="X196" s="159"/>
      <c r="Y196" s="157"/>
    </row>
    <row r="197" spans="1:25">
      <c r="A197" s="199"/>
      <c r="B197" s="154"/>
      <c r="C197" s="154"/>
      <c r="D197" s="154"/>
      <c r="E197" s="154"/>
      <c r="F197" s="154"/>
      <c r="G197" s="154"/>
      <c r="H197" s="154"/>
      <c r="I197" s="154"/>
      <c r="J197" s="154"/>
      <c r="K197" s="155"/>
      <c r="L197" s="166" t="s">
        <v>1003</v>
      </c>
      <c r="M197" s="164"/>
      <c r="N197" s="164"/>
      <c r="O197" s="165"/>
      <c r="P197" s="75"/>
      <c r="Q197" s="75"/>
      <c r="R197" s="98">
        <f>SUM(P197:Q197)</f>
        <v>0</v>
      </c>
      <c r="S197" s="163"/>
      <c r="T197" s="164"/>
      <c r="U197" s="164"/>
      <c r="V197" s="164"/>
      <c r="W197" s="164"/>
      <c r="X197" s="164"/>
      <c r="Y197" s="165"/>
    </row>
    <row r="198" spans="1:25">
      <c r="A198" s="148" t="s">
        <v>773</v>
      </c>
      <c r="B198" s="133" t="s">
        <v>1004</v>
      </c>
      <c r="C198" s="134"/>
      <c r="D198" s="134"/>
      <c r="E198" s="134"/>
      <c r="F198" s="134"/>
      <c r="G198" s="134"/>
      <c r="H198" s="134"/>
      <c r="I198" s="135"/>
      <c r="J198" s="127" t="s">
        <v>833</v>
      </c>
      <c r="K198" s="129"/>
      <c r="L198" s="127" t="s">
        <v>736</v>
      </c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9"/>
    </row>
    <row r="199" spans="1:25">
      <c r="A199" s="149"/>
      <c r="B199" s="133" t="s">
        <v>1005</v>
      </c>
      <c r="C199" s="135"/>
      <c r="D199" s="201">
        <v>45949</v>
      </c>
      <c r="E199" s="135"/>
      <c r="F199" s="133" t="s">
        <v>1006</v>
      </c>
      <c r="G199" s="135"/>
      <c r="H199" s="133" t="s">
        <v>1007</v>
      </c>
      <c r="I199" s="135"/>
      <c r="J199" s="200"/>
      <c r="K199" s="186"/>
      <c r="L199" s="200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86"/>
    </row>
    <row r="200" spans="1:25">
      <c r="A200" s="137"/>
      <c r="B200" s="63" t="s">
        <v>831</v>
      </c>
      <c r="C200" s="63" t="s">
        <v>832</v>
      </c>
      <c r="D200" s="63" t="s">
        <v>831</v>
      </c>
      <c r="E200" s="63" t="s">
        <v>832</v>
      </c>
      <c r="F200" s="63" t="s">
        <v>831</v>
      </c>
      <c r="G200" s="63" t="s">
        <v>832</v>
      </c>
      <c r="H200" s="63" t="s">
        <v>831</v>
      </c>
      <c r="I200" s="63" t="s">
        <v>832</v>
      </c>
      <c r="J200" s="130"/>
      <c r="K200" s="132"/>
      <c r="L200" s="130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2"/>
    </row>
    <row r="201" spans="1:25">
      <c r="A201" s="153" t="s">
        <v>1008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5"/>
    </row>
    <row r="202" spans="1:25" customHeight="1" ht="48">
      <c r="A202" s="70" t="s">
        <v>1009</v>
      </c>
      <c r="B202" s="66">
        <v>0</v>
      </c>
      <c r="C202" s="66">
        <v>0</v>
      </c>
      <c r="D202" s="66">
        <v>0</v>
      </c>
      <c r="E202" s="66">
        <v>0</v>
      </c>
      <c r="F202" s="66">
        <v>0</v>
      </c>
      <c r="G202" s="66">
        <v>0</v>
      </c>
      <c r="H202" s="66">
        <v>0</v>
      </c>
      <c r="I202" s="66">
        <v>0</v>
      </c>
      <c r="J202" s="161">
        <f>SUM(B202:I202)</f>
        <v>0</v>
      </c>
      <c r="K202" s="157"/>
      <c r="L202" s="158"/>
      <c r="M202" s="159"/>
      <c r="N202" s="159"/>
      <c r="O202" s="159"/>
      <c r="P202" s="159"/>
      <c r="Q202" s="159"/>
      <c r="R202" s="159"/>
      <c r="S202" s="159"/>
      <c r="T202" s="159"/>
      <c r="U202" s="159"/>
      <c r="V202" s="159"/>
      <c r="W202" s="159"/>
      <c r="X202" s="159"/>
      <c r="Y202" s="157"/>
    </row>
    <row r="203" spans="1:25">
      <c r="A203" s="217" t="s">
        <v>1010</v>
      </c>
      <c r="B203" s="218"/>
      <c r="C203" s="218"/>
      <c r="D203" s="218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</row>
    <row r="204" spans="1:25">
      <c r="A204" s="148" t="s">
        <v>773</v>
      </c>
      <c r="B204" s="127" t="s">
        <v>833</v>
      </c>
      <c r="C204" s="127" t="s">
        <v>736</v>
      </c>
      <c r="D204" s="128"/>
      <c r="E204" s="128"/>
      <c r="F204" s="128"/>
      <c r="G204" s="128"/>
      <c r="H204" s="128"/>
      <c r="I204" s="129"/>
      <c r="J204" s="152" t="s">
        <v>773</v>
      </c>
      <c r="K204" s="128"/>
      <c r="L204" s="128"/>
      <c r="M204" s="129"/>
      <c r="N204" s="127" t="s">
        <v>833</v>
      </c>
      <c r="O204" s="185" t="s">
        <v>736</v>
      </c>
      <c r="P204" s="219"/>
      <c r="Q204" s="219"/>
      <c r="R204" s="219"/>
      <c r="S204" s="219"/>
      <c r="T204" s="219"/>
      <c r="U204" s="219"/>
      <c r="V204" s="219"/>
      <c r="W204" s="219"/>
      <c r="X204" s="219"/>
      <c r="Y204" s="219"/>
    </row>
    <row r="205" spans="1:25">
      <c r="A205" s="137"/>
      <c r="B205" s="130"/>
      <c r="C205" s="130"/>
      <c r="D205" s="131"/>
      <c r="E205" s="131"/>
      <c r="F205" s="131"/>
      <c r="G205" s="131"/>
      <c r="H205" s="131"/>
      <c r="I205" s="132"/>
      <c r="J205" s="130"/>
      <c r="K205" s="131"/>
      <c r="L205" s="131"/>
      <c r="M205" s="132"/>
      <c r="N205" s="130"/>
      <c r="O205" s="185"/>
      <c r="P205" s="219"/>
      <c r="Q205" s="219"/>
      <c r="R205" s="219"/>
      <c r="S205" s="219"/>
      <c r="T205" s="219"/>
      <c r="U205" s="219"/>
      <c r="V205" s="219"/>
      <c r="W205" s="219"/>
      <c r="X205" s="219"/>
      <c r="Y205" s="219"/>
    </row>
    <row r="206" spans="1:25">
      <c r="A206" s="153" t="s">
        <v>1011</v>
      </c>
      <c r="B206" s="154"/>
      <c r="C206" s="154"/>
      <c r="D206" s="154"/>
      <c r="E206" s="154"/>
      <c r="F206" s="154"/>
      <c r="G206" s="154"/>
      <c r="H206" s="154"/>
      <c r="I206" s="154"/>
      <c r="J206" s="153" t="s">
        <v>1012</v>
      </c>
      <c r="K206" s="154"/>
      <c r="L206" s="154"/>
      <c r="M206" s="154"/>
      <c r="N206" s="154"/>
      <c r="O206" s="205"/>
      <c r="P206" s="205"/>
      <c r="Q206" s="205"/>
      <c r="R206" s="205"/>
      <c r="S206" s="205"/>
      <c r="T206" s="101"/>
      <c r="U206" s="101"/>
      <c r="V206" s="101"/>
      <c r="W206" s="101"/>
      <c r="X206" s="101"/>
      <c r="Y206" s="101"/>
    </row>
    <row r="207" spans="1:25" customHeight="1" ht="24">
      <c r="A207" s="70" t="s">
        <v>1013</v>
      </c>
      <c r="B207" s="103">
        <f>SUM(B208:B210)</f>
        <v>0</v>
      </c>
      <c r="C207" s="206"/>
      <c r="D207" s="164"/>
      <c r="E207" s="164"/>
      <c r="F207" s="164"/>
      <c r="G207" s="164"/>
      <c r="H207" s="164"/>
      <c r="I207" s="165"/>
      <c r="J207" s="160" t="s">
        <v>1014</v>
      </c>
      <c r="K207" s="159"/>
      <c r="L207" s="159"/>
      <c r="M207" s="157"/>
      <c r="N207" s="103">
        <f>SUM(N208:N210)</f>
        <v>0</v>
      </c>
      <c r="O207" s="220"/>
      <c r="P207" s="220"/>
      <c r="Q207" s="220"/>
      <c r="R207" s="220"/>
      <c r="S207" s="220"/>
      <c r="T207" s="220"/>
      <c r="U207" s="220"/>
      <c r="V207" s="220"/>
      <c r="W207" s="220"/>
      <c r="X207" s="220"/>
      <c r="Y207" s="220"/>
    </row>
    <row r="208" spans="1:25">
      <c r="A208" s="70" t="s">
        <v>1015</v>
      </c>
      <c r="B208" s="85"/>
      <c r="C208" s="174"/>
      <c r="D208" s="141"/>
      <c r="E208" s="141"/>
      <c r="F208" s="141"/>
      <c r="G208" s="141"/>
      <c r="H208" s="141"/>
      <c r="I208" s="144"/>
      <c r="J208" s="160" t="s">
        <v>1016</v>
      </c>
      <c r="K208" s="159"/>
      <c r="L208" s="159"/>
      <c r="M208" s="157"/>
      <c r="N208" s="85"/>
      <c r="O208" s="220"/>
      <c r="P208" s="220"/>
      <c r="Q208" s="220"/>
      <c r="R208" s="220"/>
      <c r="S208" s="220"/>
      <c r="T208" s="220"/>
      <c r="U208" s="220"/>
      <c r="V208" s="220"/>
      <c r="W208" s="220"/>
      <c r="X208" s="220"/>
      <c r="Y208" s="220"/>
    </row>
    <row r="209" spans="1:25">
      <c r="A209" s="70" t="s">
        <v>1017</v>
      </c>
      <c r="B209" s="85"/>
      <c r="C209" s="174"/>
      <c r="D209" s="141"/>
      <c r="E209" s="141"/>
      <c r="F209" s="141"/>
      <c r="G209" s="141"/>
      <c r="H209" s="141"/>
      <c r="I209" s="144"/>
      <c r="J209" s="160" t="s">
        <v>1018</v>
      </c>
      <c r="K209" s="159"/>
      <c r="L209" s="159"/>
      <c r="M209" s="157"/>
      <c r="N209" s="85"/>
      <c r="O209" s="220"/>
      <c r="P209" s="220"/>
      <c r="Q209" s="220"/>
      <c r="R209" s="220"/>
      <c r="S209" s="220"/>
      <c r="T209" s="220"/>
      <c r="U209" s="220"/>
      <c r="V209" s="220"/>
      <c r="W209" s="220"/>
      <c r="X209" s="220"/>
      <c r="Y209" s="220"/>
    </row>
    <row r="210" spans="1:25">
      <c r="A210" s="70" t="s">
        <v>1019</v>
      </c>
      <c r="B210" s="85"/>
      <c r="C210" s="172"/>
      <c r="D210" s="154"/>
      <c r="E210" s="154"/>
      <c r="F210" s="154"/>
      <c r="G210" s="154"/>
      <c r="H210" s="154"/>
      <c r="I210" s="155"/>
      <c r="J210" s="160" t="s">
        <v>1020</v>
      </c>
      <c r="K210" s="159"/>
      <c r="L210" s="159"/>
      <c r="M210" s="157"/>
      <c r="N210" s="85"/>
      <c r="O210" s="220"/>
      <c r="P210" s="220"/>
      <c r="Q210" s="220"/>
      <c r="R210" s="220"/>
      <c r="S210" s="220"/>
      <c r="T210" s="220"/>
      <c r="U210" s="220"/>
      <c r="V210" s="220"/>
      <c r="W210" s="220"/>
      <c r="X210" s="220"/>
      <c r="Y210" s="220"/>
    </row>
    <row r="211" spans="1:25" customHeight="1" ht="24">
      <c r="A211" s="70" t="s">
        <v>1021</v>
      </c>
      <c r="B211" s="85"/>
      <c r="C211" s="202"/>
      <c r="D211" s="159"/>
      <c r="E211" s="164"/>
      <c r="F211" s="164"/>
      <c r="G211" s="164"/>
      <c r="H211" s="164"/>
      <c r="I211" s="165"/>
      <c r="J211" s="166" t="s">
        <v>1022</v>
      </c>
      <c r="K211" s="164"/>
      <c r="L211" s="164"/>
      <c r="M211" s="165"/>
      <c r="N211" s="111"/>
      <c r="O211" s="221"/>
      <c r="P211" s="221"/>
      <c r="Q211" s="221"/>
      <c r="R211" s="221"/>
      <c r="S211" s="221"/>
      <c r="T211" s="221"/>
      <c r="U211" s="221"/>
      <c r="V211" s="221"/>
      <c r="W211" s="221"/>
      <c r="X211" s="221"/>
      <c r="Y211" s="221"/>
    </row>
    <row r="212" spans="1:25">
      <c r="A212" s="148" t="s">
        <v>773</v>
      </c>
      <c r="B212" s="203" t="s">
        <v>1023</v>
      </c>
      <c r="C212" s="127" t="s">
        <v>833</v>
      </c>
      <c r="D212" s="128"/>
      <c r="E212" s="222" t="s">
        <v>736</v>
      </c>
      <c r="F212" s="222"/>
      <c r="G212" s="222"/>
      <c r="H212" s="222"/>
      <c r="I212" s="222"/>
      <c r="J212" s="222"/>
      <c r="K212" s="222"/>
      <c r="L212" s="222"/>
      <c r="M212" s="222"/>
      <c r="N212" s="222"/>
      <c r="O212" s="222"/>
      <c r="P212" s="222"/>
      <c r="Q212" s="222"/>
      <c r="R212" s="222"/>
      <c r="S212" s="222"/>
      <c r="T212" s="222"/>
      <c r="U212" s="222"/>
      <c r="V212" s="222"/>
      <c r="W212" s="222"/>
      <c r="X212" s="222"/>
      <c r="Y212" s="222"/>
    </row>
    <row r="213" spans="1:25">
      <c r="A213" s="137"/>
      <c r="B213" s="204"/>
      <c r="C213" s="130"/>
      <c r="D213" s="131"/>
      <c r="E213" s="222"/>
      <c r="F213" s="222"/>
      <c r="G213" s="222"/>
      <c r="H213" s="222"/>
      <c r="I213" s="222"/>
      <c r="J213" s="222"/>
      <c r="K213" s="222"/>
      <c r="L213" s="222"/>
      <c r="M213" s="222"/>
      <c r="N213" s="222"/>
      <c r="O213" s="222"/>
      <c r="P213" s="222"/>
      <c r="Q213" s="222"/>
      <c r="R213" s="222"/>
      <c r="S213" s="222"/>
      <c r="T213" s="222"/>
      <c r="U213" s="222"/>
      <c r="V213" s="222"/>
      <c r="W213" s="222"/>
      <c r="X213" s="222"/>
      <c r="Y213" s="222"/>
    </row>
    <row r="214" spans="1:25" customHeight="1" ht="36">
      <c r="A214" s="70" t="s">
        <v>1024</v>
      </c>
      <c r="B214" s="67"/>
      <c r="C214" s="168">
        <f>B214</f>
        <v>0</v>
      </c>
      <c r="D214" s="159"/>
      <c r="E214" s="220"/>
      <c r="F214" s="220"/>
      <c r="G214" s="220"/>
      <c r="H214" s="220"/>
      <c r="I214" s="220"/>
      <c r="J214" s="220"/>
      <c r="K214" s="220"/>
      <c r="L214" s="220"/>
      <c r="M214" s="220"/>
      <c r="N214" s="220"/>
      <c r="O214" s="220"/>
      <c r="P214" s="220"/>
      <c r="Q214" s="220"/>
      <c r="R214" s="220"/>
      <c r="S214" s="220"/>
      <c r="T214" s="220"/>
      <c r="U214" s="220"/>
      <c r="V214" s="220"/>
      <c r="W214" s="220"/>
      <c r="X214" s="220"/>
      <c r="Y214" s="220"/>
    </row>
    <row r="215" spans="1:25" customHeight="1" ht="36">
      <c r="A215" s="70" t="s">
        <v>1025</v>
      </c>
      <c r="B215" s="67"/>
      <c r="C215" s="168">
        <f>B215</f>
        <v>0</v>
      </c>
      <c r="D215" s="159"/>
      <c r="E215" s="220"/>
      <c r="F215" s="220"/>
      <c r="G215" s="220"/>
      <c r="H215" s="220"/>
      <c r="I215" s="220"/>
      <c r="J215" s="220"/>
      <c r="K215" s="220"/>
      <c r="L215" s="220"/>
      <c r="M215" s="220"/>
      <c r="N215" s="220"/>
      <c r="O215" s="220"/>
      <c r="P215" s="220"/>
      <c r="Q215" s="220"/>
      <c r="R215" s="220"/>
      <c r="S215" s="220"/>
      <c r="T215" s="220"/>
      <c r="U215" s="220"/>
      <c r="V215" s="220"/>
      <c r="W215" s="220"/>
      <c r="X215" s="220"/>
      <c r="Y215" s="220"/>
    </row>
    <row r="216" spans="1:25">
      <c r="A216" s="133" t="s">
        <v>1026</v>
      </c>
      <c r="B216" s="134"/>
      <c r="C216" s="134"/>
      <c r="D216" s="134"/>
      <c r="E216" s="131"/>
      <c r="F216" s="131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2"/>
    </row>
    <row r="217" spans="1:25">
      <c r="A217" s="148" t="s">
        <v>773</v>
      </c>
      <c r="B217" s="133" t="s">
        <v>830</v>
      </c>
      <c r="C217" s="134"/>
      <c r="D217" s="135"/>
      <c r="E217" s="127" t="s">
        <v>736</v>
      </c>
      <c r="F217" s="128"/>
      <c r="G217" s="128"/>
      <c r="H217" s="128"/>
      <c r="I217" s="128"/>
      <c r="J217" s="128"/>
      <c r="K217" s="129"/>
      <c r="L217" s="152" t="s">
        <v>773</v>
      </c>
      <c r="M217" s="128"/>
      <c r="N217" s="128"/>
      <c r="O217" s="128"/>
      <c r="P217" s="129"/>
      <c r="Q217" s="133" t="s">
        <v>830</v>
      </c>
      <c r="R217" s="134"/>
      <c r="S217" s="135"/>
      <c r="T217" s="127" t="s">
        <v>736</v>
      </c>
      <c r="U217" s="128"/>
      <c r="V217" s="128"/>
      <c r="W217" s="128"/>
      <c r="X217" s="128"/>
      <c r="Y217" s="129"/>
    </row>
    <row r="218" spans="1:25">
      <c r="A218" s="137"/>
      <c r="B218" s="51" t="s">
        <v>831</v>
      </c>
      <c r="C218" s="51" t="s">
        <v>832</v>
      </c>
      <c r="D218" s="51" t="s">
        <v>833</v>
      </c>
      <c r="E218" s="130"/>
      <c r="F218" s="131"/>
      <c r="G218" s="131"/>
      <c r="H218" s="131"/>
      <c r="I218" s="131"/>
      <c r="J218" s="131"/>
      <c r="K218" s="132"/>
      <c r="L218" s="130"/>
      <c r="M218" s="131"/>
      <c r="N218" s="131"/>
      <c r="O218" s="131"/>
      <c r="P218" s="132"/>
      <c r="Q218" s="51" t="s">
        <v>831</v>
      </c>
      <c r="R218" s="51" t="s">
        <v>832</v>
      </c>
      <c r="S218" s="51" t="s">
        <v>833</v>
      </c>
      <c r="T218" s="130"/>
      <c r="U218" s="131"/>
      <c r="V218" s="131"/>
      <c r="W218" s="131"/>
      <c r="X218" s="131"/>
      <c r="Y218" s="132"/>
    </row>
    <row r="219" spans="1:25">
      <c r="A219" s="153" t="s">
        <v>1027</v>
      </c>
      <c r="B219" s="154"/>
      <c r="C219" s="154"/>
      <c r="D219" s="154"/>
      <c r="E219" s="154"/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154"/>
    </row>
    <row r="220" spans="1:25" customHeight="1" ht="24">
      <c r="A220" s="70" t="s">
        <v>1028</v>
      </c>
      <c r="B220" s="66"/>
      <c r="C220" s="66"/>
      <c r="D220" s="88">
        <f>SUM(B220:C220)</f>
        <v>0</v>
      </c>
      <c r="E220" s="158"/>
      <c r="F220" s="159"/>
      <c r="G220" s="159"/>
      <c r="H220" s="159"/>
      <c r="I220" s="159"/>
      <c r="J220" s="159"/>
      <c r="K220" s="157"/>
      <c r="L220" s="160" t="s">
        <v>1029</v>
      </c>
      <c r="M220" s="159"/>
      <c r="N220" s="159"/>
      <c r="O220" s="159"/>
      <c r="P220" s="157"/>
      <c r="Q220" s="66"/>
      <c r="R220" s="66"/>
      <c r="S220" s="88">
        <f>SUM(Q220:R220)</f>
        <v>0</v>
      </c>
      <c r="T220" s="158"/>
      <c r="U220" s="159"/>
      <c r="V220" s="159"/>
      <c r="W220" s="159"/>
      <c r="X220" s="159"/>
      <c r="Y220" s="157"/>
    </row>
    <row r="221" spans="1:25" customHeight="1" ht="36">
      <c r="A221" s="70" t="s">
        <v>1030</v>
      </c>
      <c r="B221" s="66"/>
      <c r="C221" s="66"/>
      <c r="D221" s="88">
        <f>SUM(B221:C221)</f>
        <v>0</v>
      </c>
      <c r="E221" s="158"/>
      <c r="F221" s="159"/>
      <c r="G221" s="159"/>
      <c r="H221" s="159"/>
      <c r="I221" s="159"/>
      <c r="J221" s="159"/>
      <c r="K221" s="157"/>
      <c r="L221" s="160" t="s">
        <v>1031</v>
      </c>
      <c r="M221" s="159"/>
      <c r="N221" s="159"/>
      <c r="O221" s="159"/>
      <c r="P221" s="157"/>
      <c r="Q221" s="66"/>
      <c r="R221" s="66"/>
      <c r="S221" s="88">
        <f>SUM(Q221:R221)</f>
        <v>0</v>
      </c>
      <c r="T221" s="158"/>
      <c r="U221" s="159"/>
      <c r="V221" s="159"/>
      <c r="W221" s="159"/>
      <c r="X221" s="159"/>
      <c r="Y221" s="157"/>
    </row>
    <row r="222" spans="1:25" customHeight="1" ht="36">
      <c r="A222" s="70" t="s">
        <v>1032</v>
      </c>
      <c r="B222" s="66"/>
      <c r="C222" s="66"/>
      <c r="D222" s="88">
        <f>SUM(B222:C222)</f>
        <v>0</v>
      </c>
      <c r="E222" s="158"/>
      <c r="F222" s="159"/>
      <c r="G222" s="159"/>
      <c r="H222" s="159"/>
      <c r="I222" s="159"/>
      <c r="J222" s="159"/>
      <c r="K222" s="157"/>
      <c r="L222" s="160" t="s">
        <v>1033</v>
      </c>
      <c r="M222" s="159"/>
      <c r="N222" s="159"/>
      <c r="O222" s="159"/>
      <c r="P222" s="157"/>
      <c r="Q222" s="66"/>
      <c r="R222" s="66"/>
      <c r="S222" s="88">
        <f>SUM(Q222:R222)</f>
        <v>0</v>
      </c>
      <c r="T222" s="158"/>
      <c r="U222" s="159"/>
      <c r="V222" s="159"/>
      <c r="W222" s="159"/>
      <c r="X222" s="159"/>
      <c r="Y222" s="157"/>
    </row>
    <row r="223" spans="1:25" customHeight="1" ht="24">
      <c r="A223" s="70" t="s">
        <v>1034</v>
      </c>
      <c r="B223" s="66"/>
      <c r="C223" s="66"/>
      <c r="D223" s="88">
        <f>SUM(B223:C223)</f>
        <v>0</v>
      </c>
      <c r="E223" s="158"/>
      <c r="F223" s="159"/>
      <c r="G223" s="159"/>
      <c r="H223" s="159"/>
      <c r="I223" s="159"/>
      <c r="J223" s="159"/>
      <c r="K223" s="157"/>
      <c r="L223" s="160" t="s">
        <v>1035</v>
      </c>
      <c r="M223" s="159"/>
      <c r="N223" s="159"/>
      <c r="O223" s="159"/>
      <c r="P223" s="157"/>
      <c r="Q223" s="66"/>
      <c r="R223" s="66"/>
      <c r="S223" s="88">
        <f>SUM(Q223:R223)</f>
        <v>0</v>
      </c>
      <c r="T223" s="158"/>
      <c r="U223" s="159"/>
      <c r="V223" s="159"/>
      <c r="W223" s="159"/>
      <c r="X223" s="159"/>
      <c r="Y223" s="157"/>
    </row>
    <row r="224" spans="1:25">
      <c r="A224" s="153" t="s">
        <v>1036</v>
      </c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</row>
    <row r="225" spans="1:25">
      <c r="A225" s="104" t="s">
        <v>1037</v>
      </c>
      <c r="B225" s="66"/>
      <c r="C225" s="66"/>
      <c r="D225" s="88">
        <f>SUM(B225:C225)</f>
        <v>0</v>
      </c>
      <c r="E225" s="158"/>
      <c r="F225" s="159"/>
      <c r="G225" s="159"/>
      <c r="H225" s="159"/>
      <c r="I225" s="159"/>
      <c r="J225" s="159"/>
      <c r="K225" s="157"/>
      <c r="L225" s="160" t="s">
        <v>1038</v>
      </c>
      <c r="M225" s="159"/>
      <c r="N225" s="159"/>
      <c r="O225" s="159"/>
      <c r="P225" s="157"/>
      <c r="Q225" s="66"/>
      <c r="R225" s="66"/>
      <c r="S225" s="88">
        <f>SUM(Q225:R225)</f>
        <v>0</v>
      </c>
      <c r="T225" s="158"/>
      <c r="U225" s="159"/>
      <c r="V225" s="159"/>
      <c r="W225" s="159"/>
      <c r="X225" s="159"/>
      <c r="Y225" s="157"/>
    </row>
    <row r="226" spans="1:25">
      <c r="A226" s="104" t="s">
        <v>1039</v>
      </c>
      <c r="B226" s="66"/>
      <c r="C226" s="66"/>
      <c r="D226" s="88">
        <f>SUM(B226:C226)</f>
        <v>0</v>
      </c>
      <c r="E226" s="158"/>
      <c r="F226" s="159"/>
      <c r="G226" s="159"/>
      <c r="H226" s="159"/>
      <c r="I226" s="159"/>
      <c r="J226" s="159"/>
      <c r="K226" s="157"/>
      <c r="L226" s="160" t="s">
        <v>1039</v>
      </c>
      <c r="M226" s="159"/>
      <c r="N226" s="159"/>
      <c r="O226" s="159"/>
      <c r="P226" s="157"/>
      <c r="Q226" s="66"/>
      <c r="R226" s="66"/>
      <c r="S226" s="88">
        <f>SUM(Q226:R226)</f>
        <v>0</v>
      </c>
      <c r="T226" s="158"/>
      <c r="U226" s="159"/>
      <c r="V226" s="159"/>
      <c r="W226" s="159"/>
      <c r="X226" s="159"/>
      <c r="Y226" s="157"/>
    </row>
    <row r="227" spans="1:25">
      <c r="A227" s="104" t="s">
        <v>1040</v>
      </c>
      <c r="B227" s="66"/>
      <c r="C227" s="66"/>
      <c r="D227" s="88">
        <f>SUM(B227:C227)</f>
        <v>0</v>
      </c>
      <c r="E227" s="158"/>
      <c r="F227" s="159"/>
      <c r="G227" s="159"/>
      <c r="H227" s="159"/>
      <c r="I227" s="159"/>
      <c r="J227" s="159"/>
      <c r="K227" s="157"/>
      <c r="L227" s="160" t="s">
        <v>1040</v>
      </c>
      <c r="M227" s="159"/>
      <c r="N227" s="159"/>
      <c r="O227" s="159"/>
      <c r="P227" s="157"/>
      <c r="Q227" s="66"/>
      <c r="R227" s="66"/>
      <c r="S227" s="88">
        <f>SUM(Q227:R227)</f>
        <v>0</v>
      </c>
      <c r="T227" s="158"/>
      <c r="U227" s="159"/>
      <c r="V227" s="159"/>
      <c r="W227" s="159"/>
      <c r="X227" s="159"/>
      <c r="Y227" s="157"/>
    </row>
    <row r="228" spans="1:25">
      <c r="A228" s="104" t="s">
        <v>1041</v>
      </c>
      <c r="B228" s="66"/>
      <c r="C228" s="66"/>
      <c r="D228" s="88">
        <f>SUM(B228:C228)</f>
        <v>0</v>
      </c>
      <c r="E228" s="158"/>
      <c r="F228" s="159"/>
      <c r="G228" s="159"/>
      <c r="H228" s="159"/>
      <c r="I228" s="159"/>
      <c r="J228" s="159"/>
      <c r="K228" s="157"/>
      <c r="L228" s="160" t="s">
        <v>1042</v>
      </c>
      <c r="M228" s="159"/>
      <c r="N228" s="159"/>
      <c r="O228" s="159"/>
      <c r="P228" s="157"/>
      <c r="Q228" s="66"/>
      <c r="R228" s="66"/>
      <c r="S228" s="88">
        <f>SUM(Q228:R228)</f>
        <v>0</v>
      </c>
      <c r="T228" s="158"/>
      <c r="U228" s="159"/>
      <c r="V228" s="159"/>
      <c r="W228" s="159"/>
      <c r="X228" s="159"/>
      <c r="Y228" s="157"/>
    </row>
    <row r="229" spans="1:25">
      <c r="A229" s="104" t="s">
        <v>1039</v>
      </c>
      <c r="B229" s="66"/>
      <c r="C229" s="66"/>
      <c r="D229" s="88">
        <f>SUM(B229:C229)</f>
        <v>0</v>
      </c>
      <c r="E229" s="158"/>
      <c r="F229" s="159"/>
      <c r="G229" s="159"/>
      <c r="H229" s="159"/>
      <c r="I229" s="159"/>
      <c r="J229" s="159"/>
      <c r="K229" s="157"/>
      <c r="L229" s="160" t="s">
        <v>1039</v>
      </c>
      <c r="M229" s="159"/>
      <c r="N229" s="159"/>
      <c r="O229" s="159"/>
      <c r="P229" s="157"/>
      <c r="Q229" s="66"/>
      <c r="R229" s="66"/>
      <c r="S229" s="88">
        <f>SUM(Q229:R229)</f>
        <v>0</v>
      </c>
      <c r="T229" s="158"/>
      <c r="U229" s="159"/>
      <c r="V229" s="159"/>
      <c r="W229" s="159"/>
      <c r="X229" s="159"/>
      <c r="Y229" s="157"/>
    </row>
    <row r="230" spans="1:25">
      <c r="A230" s="104" t="s">
        <v>1040</v>
      </c>
      <c r="B230" s="66"/>
      <c r="C230" s="66"/>
      <c r="D230" s="88">
        <f>SUM(B230:C230)</f>
        <v>0</v>
      </c>
      <c r="E230" s="158"/>
      <c r="F230" s="159"/>
      <c r="G230" s="159"/>
      <c r="H230" s="159"/>
      <c r="I230" s="159"/>
      <c r="J230" s="159"/>
      <c r="K230" s="157"/>
      <c r="L230" s="160" t="s">
        <v>1040</v>
      </c>
      <c r="M230" s="159"/>
      <c r="N230" s="159"/>
      <c r="O230" s="159"/>
      <c r="P230" s="157"/>
      <c r="Q230" s="66"/>
      <c r="R230" s="66"/>
      <c r="S230" s="88">
        <f>SUM(Q230:R230)</f>
        <v>0</v>
      </c>
      <c r="T230" s="158"/>
      <c r="U230" s="159"/>
      <c r="V230" s="159"/>
      <c r="W230" s="159"/>
      <c r="X230" s="159"/>
      <c r="Y230" s="157"/>
    </row>
    <row r="231" spans="1:25">
      <c r="A231" s="104" t="s">
        <v>1043</v>
      </c>
      <c r="B231" s="66"/>
      <c r="C231" s="66"/>
      <c r="D231" s="88">
        <f>SUM(B231:C231)</f>
        <v>0</v>
      </c>
      <c r="E231" s="158"/>
      <c r="F231" s="159"/>
      <c r="G231" s="159"/>
      <c r="H231" s="159"/>
      <c r="I231" s="159"/>
      <c r="J231" s="159"/>
      <c r="K231" s="157"/>
      <c r="L231" s="160" t="s">
        <v>1044</v>
      </c>
      <c r="M231" s="159"/>
      <c r="N231" s="159"/>
      <c r="O231" s="159"/>
      <c r="P231" s="157"/>
      <c r="Q231" s="66"/>
      <c r="R231" s="66"/>
      <c r="S231" s="88">
        <f>SUM(Q231:R231)</f>
        <v>0</v>
      </c>
      <c r="T231" s="158"/>
      <c r="U231" s="159"/>
      <c r="V231" s="159"/>
      <c r="W231" s="159"/>
      <c r="X231" s="159"/>
      <c r="Y231" s="157"/>
    </row>
    <row r="232" spans="1:25">
      <c r="A232" s="104" t="s">
        <v>1039</v>
      </c>
      <c r="B232" s="66"/>
      <c r="C232" s="66"/>
      <c r="D232" s="88">
        <f>SUM(B232:C232)</f>
        <v>0</v>
      </c>
      <c r="E232" s="158"/>
      <c r="F232" s="159"/>
      <c r="G232" s="159"/>
      <c r="H232" s="159"/>
      <c r="I232" s="159"/>
      <c r="J232" s="159"/>
      <c r="K232" s="157"/>
      <c r="L232" s="160" t="s">
        <v>1039</v>
      </c>
      <c r="M232" s="159"/>
      <c r="N232" s="159"/>
      <c r="O232" s="159"/>
      <c r="P232" s="157"/>
      <c r="Q232" s="66"/>
      <c r="R232" s="66"/>
      <c r="S232" s="88">
        <f>SUM(Q232:R232)</f>
        <v>0</v>
      </c>
      <c r="T232" s="158"/>
      <c r="U232" s="159"/>
      <c r="V232" s="159"/>
      <c r="W232" s="159"/>
      <c r="X232" s="159"/>
      <c r="Y232" s="157"/>
    </row>
    <row r="233" spans="1:25">
      <c r="A233" s="104" t="s">
        <v>1040</v>
      </c>
      <c r="B233" s="66"/>
      <c r="C233" s="66"/>
      <c r="D233" s="88">
        <f>SUM(B233:C233)</f>
        <v>0</v>
      </c>
      <c r="E233" s="158"/>
      <c r="F233" s="159"/>
      <c r="G233" s="159"/>
      <c r="H233" s="159"/>
      <c r="I233" s="159"/>
      <c r="J233" s="159"/>
      <c r="K233" s="157"/>
      <c r="L233" s="160" t="s">
        <v>1040</v>
      </c>
      <c r="M233" s="159"/>
      <c r="N233" s="159"/>
      <c r="O233" s="159"/>
      <c r="P233" s="157"/>
      <c r="Q233" s="66"/>
      <c r="R233" s="66"/>
      <c r="S233" s="88">
        <f>SUM(Q233:R233)</f>
        <v>0</v>
      </c>
      <c r="T233" s="158"/>
      <c r="U233" s="159"/>
      <c r="V233" s="159"/>
      <c r="W233" s="159"/>
      <c r="X233" s="159"/>
      <c r="Y233" s="157"/>
    </row>
    <row r="234" spans="1:25" customHeight="1" ht="24">
      <c r="A234" s="104" t="s">
        <v>1045</v>
      </c>
      <c r="B234" s="66"/>
      <c r="C234" s="66"/>
      <c r="D234" s="88">
        <f>SUM(B234:C234)</f>
        <v>0</v>
      </c>
      <c r="E234" s="158"/>
      <c r="F234" s="159"/>
      <c r="G234" s="159"/>
      <c r="H234" s="159"/>
      <c r="I234" s="159"/>
      <c r="J234" s="159"/>
      <c r="K234" s="157"/>
      <c r="L234" s="160" t="s">
        <v>1046</v>
      </c>
      <c r="M234" s="159"/>
      <c r="N234" s="159"/>
      <c r="O234" s="159"/>
      <c r="P234" s="157"/>
      <c r="Q234" s="66"/>
      <c r="R234" s="66"/>
      <c r="S234" s="88">
        <f>SUM(Q234:R234)</f>
        <v>0</v>
      </c>
      <c r="T234" s="158"/>
      <c r="U234" s="159"/>
      <c r="V234" s="159"/>
      <c r="W234" s="159"/>
      <c r="X234" s="159"/>
      <c r="Y234" s="157"/>
    </row>
    <row r="235" spans="1:25">
      <c r="A235" s="104" t="s">
        <v>1039</v>
      </c>
      <c r="B235" s="66"/>
      <c r="C235" s="66"/>
      <c r="D235" s="88">
        <f>SUM(B235:C235)</f>
        <v>0</v>
      </c>
      <c r="E235" s="158"/>
      <c r="F235" s="159"/>
      <c r="G235" s="159"/>
      <c r="H235" s="159"/>
      <c r="I235" s="159"/>
      <c r="J235" s="159"/>
      <c r="K235" s="157"/>
      <c r="L235" s="160" t="s">
        <v>1039</v>
      </c>
      <c r="M235" s="159"/>
      <c r="N235" s="159"/>
      <c r="O235" s="159"/>
      <c r="P235" s="157"/>
      <c r="Q235" s="66"/>
      <c r="R235" s="66"/>
      <c r="S235" s="88">
        <f>SUM(Q235:R235)</f>
        <v>0</v>
      </c>
      <c r="T235" s="158"/>
      <c r="U235" s="159"/>
      <c r="V235" s="159"/>
      <c r="W235" s="159"/>
      <c r="X235" s="159"/>
      <c r="Y235" s="157"/>
    </row>
    <row r="236" spans="1:25">
      <c r="A236" s="104" t="s">
        <v>1040</v>
      </c>
      <c r="B236" s="66"/>
      <c r="C236" s="66"/>
      <c r="D236" s="88">
        <f>SUM(B236:C236)</f>
        <v>0</v>
      </c>
      <c r="E236" s="158"/>
      <c r="F236" s="159"/>
      <c r="G236" s="159"/>
      <c r="H236" s="159"/>
      <c r="I236" s="159"/>
      <c r="J236" s="159"/>
      <c r="K236" s="157"/>
      <c r="L236" s="160" t="s">
        <v>1040</v>
      </c>
      <c r="M236" s="159"/>
      <c r="N236" s="159"/>
      <c r="O236" s="159"/>
      <c r="P236" s="157"/>
      <c r="Q236" s="66"/>
      <c r="R236" s="66"/>
      <c r="S236" s="88">
        <f>SUM(Q236:R236)</f>
        <v>0</v>
      </c>
      <c r="T236" s="158"/>
      <c r="U236" s="159"/>
      <c r="V236" s="159"/>
      <c r="W236" s="159"/>
      <c r="X236" s="159"/>
      <c r="Y236" s="157"/>
    </row>
    <row r="237" spans="1:25" customHeight="1" ht="48">
      <c r="A237" s="104" t="s">
        <v>1047</v>
      </c>
      <c r="B237" s="66"/>
      <c r="C237" s="66"/>
      <c r="D237" s="88">
        <f>SUM(B237:C237)</f>
        <v>0</v>
      </c>
      <c r="E237" s="158"/>
      <c r="F237" s="159"/>
      <c r="G237" s="159"/>
      <c r="H237" s="159"/>
      <c r="I237" s="159"/>
      <c r="J237" s="159"/>
      <c r="K237" s="157"/>
      <c r="L237" s="207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5"/>
    </row>
    <row r="238" spans="1:25">
      <c r="A238" s="104" t="s">
        <v>1039</v>
      </c>
      <c r="B238" s="66"/>
      <c r="C238" s="66"/>
      <c r="D238" s="88">
        <f>SUM(B238:C238)</f>
        <v>0</v>
      </c>
      <c r="E238" s="158"/>
      <c r="F238" s="159"/>
      <c r="G238" s="159"/>
      <c r="H238" s="159"/>
      <c r="I238" s="159"/>
      <c r="J238" s="159"/>
      <c r="K238" s="157"/>
      <c r="L238" s="174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4"/>
    </row>
    <row r="239" spans="1:25">
      <c r="A239" s="104" t="s">
        <v>1040</v>
      </c>
      <c r="B239" s="66"/>
      <c r="C239" s="66"/>
      <c r="D239" s="88">
        <f>SUM(B239:C239)</f>
        <v>0</v>
      </c>
      <c r="E239" s="158"/>
      <c r="F239" s="159"/>
      <c r="G239" s="159"/>
      <c r="H239" s="159"/>
      <c r="I239" s="159"/>
      <c r="J239" s="159"/>
      <c r="K239" s="157"/>
      <c r="L239" s="172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5"/>
    </row>
    <row r="240" spans="1:25">
      <c r="A240" s="148" t="s">
        <v>773</v>
      </c>
      <c r="B240" s="133" t="s">
        <v>830</v>
      </c>
      <c r="C240" s="134"/>
      <c r="D240" s="135"/>
      <c r="E240" s="185" t="s">
        <v>736</v>
      </c>
      <c r="F240" s="141"/>
      <c r="G240" s="141"/>
      <c r="H240" s="141"/>
      <c r="I240" s="141"/>
      <c r="J240" s="141"/>
      <c r="K240" s="186"/>
      <c r="L240" s="187" t="s">
        <v>773</v>
      </c>
      <c r="M240" s="141"/>
      <c r="N240" s="141"/>
      <c r="O240" s="141"/>
      <c r="P240" s="186"/>
      <c r="Q240" s="189" t="s">
        <v>830</v>
      </c>
      <c r="R240" s="131"/>
      <c r="S240" s="132"/>
      <c r="T240" s="185" t="s">
        <v>736</v>
      </c>
      <c r="U240" s="141"/>
      <c r="V240" s="141"/>
      <c r="W240" s="141"/>
      <c r="X240" s="141"/>
      <c r="Y240" s="186"/>
    </row>
    <row r="241" spans="1:25">
      <c r="A241" s="137"/>
      <c r="B241" s="51" t="s">
        <v>831</v>
      </c>
      <c r="C241" s="51" t="s">
        <v>832</v>
      </c>
      <c r="D241" s="51" t="s">
        <v>833</v>
      </c>
      <c r="E241" s="130"/>
      <c r="F241" s="131"/>
      <c r="G241" s="131"/>
      <c r="H241" s="131"/>
      <c r="I241" s="131"/>
      <c r="J241" s="131"/>
      <c r="K241" s="132"/>
      <c r="L241" s="130"/>
      <c r="M241" s="131"/>
      <c r="N241" s="131"/>
      <c r="O241" s="131"/>
      <c r="P241" s="132"/>
      <c r="Q241" s="51" t="s">
        <v>831</v>
      </c>
      <c r="R241" s="51" t="s">
        <v>832</v>
      </c>
      <c r="S241" s="51" t="s">
        <v>833</v>
      </c>
      <c r="T241" s="130"/>
      <c r="U241" s="131"/>
      <c r="V241" s="131"/>
      <c r="W241" s="131"/>
      <c r="X241" s="131"/>
      <c r="Y241" s="132"/>
    </row>
    <row r="242" spans="1:25">
      <c r="A242" s="153" t="s">
        <v>1048</v>
      </c>
      <c r="B242" s="154"/>
      <c r="C242" s="154"/>
      <c r="D242" s="154"/>
      <c r="E242" s="154"/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</row>
    <row r="243" spans="1:25">
      <c r="A243" s="104" t="s">
        <v>1049</v>
      </c>
      <c r="B243" s="66"/>
      <c r="C243" s="66"/>
      <c r="D243" s="88">
        <f>SUM(B243:C243)</f>
        <v>0</v>
      </c>
      <c r="E243" s="158"/>
      <c r="F243" s="159"/>
      <c r="G243" s="159"/>
      <c r="H243" s="159"/>
      <c r="I243" s="159"/>
      <c r="J243" s="159"/>
      <c r="K243" s="157"/>
      <c r="L243" s="160" t="s">
        <v>1050</v>
      </c>
      <c r="M243" s="159"/>
      <c r="N243" s="159"/>
      <c r="O243" s="159"/>
      <c r="P243" s="157"/>
      <c r="Q243" s="66"/>
      <c r="R243" s="66"/>
      <c r="S243" s="88">
        <f>SUM(Q243:R243)</f>
        <v>0</v>
      </c>
      <c r="T243" s="158"/>
      <c r="U243" s="159"/>
      <c r="V243" s="159"/>
      <c r="W243" s="159"/>
      <c r="X243" s="159"/>
      <c r="Y243" s="157"/>
    </row>
    <row r="244" spans="1:25">
      <c r="A244" s="104" t="s">
        <v>1051</v>
      </c>
      <c r="B244" s="66"/>
      <c r="C244" s="66"/>
      <c r="D244" s="88">
        <f>SUM(B244:C244)</f>
        <v>0</v>
      </c>
      <c r="E244" s="158"/>
      <c r="F244" s="159"/>
      <c r="G244" s="159"/>
      <c r="H244" s="159"/>
      <c r="I244" s="159"/>
      <c r="J244" s="159"/>
      <c r="K244" s="157"/>
      <c r="L244" s="160" t="s">
        <v>1051</v>
      </c>
      <c r="M244" s="159"/>
      <c r="N244" s="159"/>
      <c r="O244" s="159"/>
      <c r="P244" s="157"/>
      <c r="Q244" s="66"/>
      <c r="R244" s="66"/>
      <c r="S244" s="88">
        <f>SUM(Q244:R244)</f>
        <v>0</v>
      </c>
      <c r="T244" s="158"/>
      <c r="U244" s="159"/>
      <c r="V244" s="159"/>
      <c r="W244" s="159"/>
      <c r="X244" s="159"/>
      <c r="Y244" s="157"/>
    </row>
    <row r="245" spans="1:25">
      <c r="A245" s="104" t="s">
        <v>1052</v>
      </c>
      <c r="B245" s="66"/>
      <c r="C245" s="66"/>
      <c r="D245" s="88">
        <f>SUM(B245:C245)</f>
        <v>0</v>
      </c>
      <c r="E245" s="158"/>
      <c r="F245" s="159"/>
      <c r="G245" s="159"/>
      <c r="H245" s="159"/>
      <c r="I245" s="159"/>
      <c r="J245" s="159"/>
      <c r="K245" s="157"/>
      <c r="L245" s="160" t="s">
        <v>1052</v>
      </c>
      <c r="M245" s="159"/>
      <c r="N245" s="159"/>
      <c r="O245" s="159"/>
      <c r="P245" s="157"/>
      <c r="Q245" s="66"/>
      <c r="R245" s="66"/>
      <c r="S245" s="88">
        <f>SUM(Q245:R245)</f>
        <v>0</v>
      </c>
      <c r="T245" s="158"/>
      <c r="U245" s="159"/>
      <c r="V245" s="159"/>
      <c r="W245" s="159"/>
      <c r="X245" s="159"/>
      <c r="Y245" s="157"/>
    </row>
    <row r="246" spans="1:25">
      <c r="A246" s="104" t="s">
        <v>1053</v>
      </c>
      <c r="B246" s="66"/>
      <c r="C246" s="66"/>
      <c r="D246" s="88">
        <f>SUM(B246:C246)</f>
        <v>0</v>
      </c>
      <c r="E246" s="158"/>
      <c r="F246" s="159"/>
      <c r="G246" s="159"/>
      <c r="H246" s="159"/>
      <c r="I246" s="159"/>
      <c r="J246" s="159"/>
      <c r="K246" s="157"/>
      <c r="L246" s="160" t="s">
        <v>1053</v>
      </c>
      <c r="M246" s="159"/>
      <c r="N246" s="159"/>
      <c r="O246" s="159"/>
      <c r="P246" s="157"/>
      <c r="Q246" s="66"/>
      <c r="R246" s="66"/>
      <c r="S246" s="88">
        <f>SUM(Q246:R246)</f>
        <v>0</v>
      </c>
      <c r="T246" s="158"/>
      <c r="U246" s="159"/>
      <c r="V246" s="159"/>
      <c r="W246" s="159"/>
      <c r="X246" s="159"/>
      <c r="Y246" s="157"/>
    </row>
    <row r="247" spans="1:25">
      <c r="A247" s="104" t="s">
        <v>1054</v>
      </c>
      <c r="B247" s="66"/>
      <c r="C247" s="66"/>
      <c r="D247" s="88">
        <f>SUM(B247:C247)</f>
        <v>0</v>
      </c>
      <c r="E247" s="158"/>
      <c r="F247" s="159"/>
      <c r="G247" s="159"/>
      <c r="H247" s="159"/>
      <c r="I247" s="159"/>
      <c r="J247" s="159"/>
      <c r="K247" s="157"/>
      <c r="L247" s="160" t="s">
        <v>1054</v>
      </c>
      <c r="M247" s="159"/>
      <c r="N247" s="159"/>
      <c r="O247" s="159"/>
      <c r="P247" s="157"/>
      <c r="Q247" s="66"/>
      <c r="R247" s="66"/>
      <c r="S247" s="88">
        <f>SUM(Q247:R247)</f>
        <v>0</v>
      </c>
      <c r="T247" s="158"/>
      <c r="U247" s="159"/>
      <c r="V247" s="159"/>
      <c r="W247" s="159"/>
      <c r="X247" s="159"/>
      <c r="Y247" s="157"/>
    </row>
    <row r="248" spans="1:25" customHeight="1" ht="24">
      <c r="A248" s="104" t="s">
        <v>1055</v>
      </c>
      <c r="B248" s="66"/>
      <c r="C248" s="66"/>
      <c r="D248" s="88">
        <f>SUM(B248:C248)</f>
        <v>0</v>
      </c>
      <c r="E248" s="158"/>
      <c r="F248" s="159"/>
      <c r="G248" s="159"/>
      <c r="H248" s="159"/>
      <c r="I248" s="159"/>
      <c r="J248" s="159"/>
      <c r="K248" s="157"/>
      <c r="L248" s="160" t="s">
        <v>1056</v>
      </c>
      <c r="M248" s="159"/>
      <c r="N248" s="159"/>
      <c r="O248" s="159"/>
      <c r="P248" s="157"/>
      <c r="Q248" s="66"/>
      <c r="R248" s="66"/>
      <c r="S248" s="88">
        <f>SUM(Q248:R248)</f>
        <v>0</v>
      </c>
      <c r="T248" s="158"/>
      <c r="U248" s="159"/>
      <c r="V248" s="159"/>
      <c r="W248" s="159"/>
      <c r="X248" s="159"/>
      <c r="Y248" s="157"/>
    </row>
    <row r="249" spans="1:25">
      <c r="A249" s="104" t="s">
        <v>1051</v>
      </c>
      <c r="B249" s="66"/>
      <c r="C249" s="66"/>
      <c r="D249" s="88">
        <f>SUM(B249:C249)</f>
        <v>0</v>
      </c>
      <c r="E249" s="158"/>
      <c r="F249" s="159"/>
      <c r="G249" s="159"/>
      <c r="H249" s="159"/>
      <c r="I249" s="159"/>
      <c r="J249" s="159"/>
      <c r="K249" s="157"/>
      <c r="L249" s="160" t="s">
        <v>1051</v>
      </c>
      <c r="M249" s="159"/>
      <c r="N249" s="159"/>
      <c r="O249" s="159"/>
      <c r="P249" s="157"/>
      <c r="Q249" s="66"/>
      <c r="R249" s="66"/>
      <c r="S249" s="88">
        <f>SUM(Q249:R249)</f>
        <v>0</v>
      </c>
      <c r="T249" s="158"/>
      <c r="U249" s="159"/>
      <c r="V249" s="159"/>
      <c r="W249" s="159"/>
      <c r="X249" s="159"/>
      <c r="Y249" s="157"/>
    </row>
    <row r="250" spans="1:25">
      <c r="A250" s="104" t="s">
        <v>1052</v>
      </c>
      <c r="B250" s="66"/>
      <c r="C250" s="66"/>
      <c r="D250" s="88">
        <f>SUM(B250:C250)</f>
        <v>0</v>
      </c>
      <c r="E250" s="158"/>
      <c r="F250" s="159"/>
      <c r="G250" s="159"/>
      <c r="H250" s="159"/>
      <c r="I250" s="159"/>
      <c r="J250" s="159"/>
      <c r="K250" s="157"/>
      <c r="L250" s="160" t="s">
        <v>1052</v>
      </c>
      <c r="M250" s="159"/>
      <c r="N250" s="159"/>
      <c r="O250" s="159"/>
      <c r="P250" s="157"/>
      <c r="Q250" s="66"/>
      <c r="R250" s="66"/>
      <c r="S250" s="88">
        <f>SUM(Q250:R250)</f>
        <v>0</v>
      </c>
      <c r="T250" s="158"/>
      <c r="U250" s="159"/>
      <c r="V250" s="159"/>
      <c r="W250" s="159"/>
      <c r="X250" s="159"/>
      <c r="Y250" s="157"/>
    </row>
    <row r="251" spans="1:25">
      <c r="A251" s="104" t="s">
        <v>1053</v>
      </c>
      <c r="B251" s="66"/>
      <c r="C251" s="66"/>
      <c r="D251" s="88">
        <f>SUM(B251:C251)</f>
        <v>0</v>
      </c>
      <c r="E251" s="158"/>
      <c r="F251" s="159"/>
      <c r="G251" s="159"/>
      <c r="H251" s="159"/>
      <c r="I251" s="159"/>
      <c r="J251" s="159"/>
      <c r="K251" s="157"/>
      <c r="L251" s="160" t="s">
        <v>1053</v>
      </c>
      <c r="M251" s="159"/>
      <c r="N251" s="159"/>
      <c r="O251" s="159"/>
      <c r="P251" s="157"/>
      <c r="Q251" s="66"/>
      <c r="R251" s="66"/>
      <c r="S251" s="88">
        <f>SUM(Q251:R251)</f>
        <v>0</v>
      </c>
      <c r="T251" s="158"/>
      <c r="U251" s="159"/>
      <c r="V251" s="159"/>
      <c r="W251" s="159"/>
      <c r="X251" s="159"/>
      <c r="Y251" s="157"/>
    </row>
    <row r="252" spans="1:25">
      <c r="A252" s="104" t="s">
        <v>1054</v>
      </c>
      <c r="B252" s="66"/>
      <c r="C252" s="66"/>
      <c r="D252" s="88">
        <f>SUM(B252:C252)</f>
        <v>0</v>
      </c>
      <c r="E252" s="158"/>
      <c r="F252" s="159"/>
      <c r="G252" s="159"/>
      <c r="H252" s="159"/>
      <c r="I252" s="159"/>
      <c r="J252" s="159"/>
      <c r="K252" s="157"/>
      <c r="L252" s="160" t="s">
        <v>1054</v>
      </c>
      <c r="M252" s="159"/>
      <c r="N252" s="159"/>
      <c r="O252" s="159"/>
      <c r="P252" s="157"/>
      <c r="Q252" s="66"/>
      <c r="R252" s="66"/>
      <c r="S252" s="88">
        <f>SUM(Q252:R252)</f>
        <v>0</v>
      </c>
      <c r="T252" s="158"/>
      <c r="U252" s="159"/>
      <c r="V252" s="159"/>
      <c r="W252" s="159"/>
      <c r="X252" s="159"/>
      <c r="Y252" s="157"/>
    </row>
    <row r="253" spans="1:25" customHeight="1" ht="24">
      <c r="A253" s="104" t="s">
        <v>1057</v>
      </c>
      <c r="B253" s="66"/>
      <c r="C253" s="66"/>
      <c r="D253" s="88">
        <f>SUM(B253:C253)</f>
        <v>0</v>
      </c>
      <c r="E253" s="158"/>
      <c r="F253" s="159"/>
      <c r="G253" s="159"/>
      <c r="H253" s="159"/>
      <c r="I253" s="159"/>
      <c r="J253" s="159"/>
      <c r="K253" s="157"/>
      <c r="L253" s="160" t="s">
        <v>1058</v>
      </c>
      <c r="M253" s="159"/>
      <c r="N253" s="159"/>
      <c r="O253" s="159"/>
      <c r="P253" s="157"/>
      <c r="Q253" s="66"/>
      <c r="R253" s="66"/>
      <c r="S253" s="88">
        <f>SUM(Q253:R253)</f>
        <v>0</v>
      </c>
      <c r="T253" s="158"/>
      <c r="U253" s="159"/>
      <c r="V253" s="159"/>
      <c r="W253" s="159"/>
      <c r="X253" s="159"/>
      <c r="Y253" s="157"/>
    </row>
    <row r="254" spans="1:25">
      <c r="A254" s="104" t="s">
        <v>1051</v>
      </c>
      <c r="B254" s="66"/>
      <c r="C254" s="66"/>
      <c r="D254" s="88">
        <f>SUM(B254:C254)</f>
        <v>0</v>
      </c>
      <c r="E254" s="158"/>
      <c r="F254" s="159"/>
      <c r="G254" s="159"/>
      <c r="H254" s="159"/>
      <c r="I254" s="159"/>
      <c r="J254" s="159"/>
      <c r="K254" s="157"/>
      <c r="L254" s="160" t="s">
        <v>1051</v>
      </c>
      <c r="M254" s="159"/>
      <c r="N254" s="159"/>
      <c r="O254" s="159"/>
      <c r="P254" s="157"/>
      <c r="Q254" s="66"/>
      <c r="R254" s="66"/>
      <c r="S254" s="88">
        <f>SUM(Q254:R254)</f>
        <v>0</v>
      </c>
      <c r="T254" s="158"/>
      <c r="U254" s="159"/>
      <c r="V254" s="159"/>
      <c r="W254" s="159"/>
      <c r="X254" s="159"/>
      <c r="Y254" s="157"/>
    </row>
    <row r="255" spans="1:25">
      <c r="A255" s="104" t="s">
        <v>1052</v>
      </c>
      <c r="B255" s="66"/>
      <c r="C255" s="66"/>
      <c r="D255" s="88">
        <f>SUM(B255:C255)</f>
        <v>0</v>
      </c>
      <c r="E255" s="158"/>
      <c r="F255" s="159"/>
      <c r="G255" s="159"/>
      <c r="H255" s="159"/>
      <c r="I255" s="159"/>
      <c r="J255" s="159"/>
      <c r="K255" s="157"/>
      <c r="L255" s="160" t="s">
        <v>1052</v>
      </c>
      <c r="M255" s="159"/>
      <c r="N255" s="159"/>
      <c r="O255" s="159"/>
      <c r="P255" s="157"/>
      <c r="Q255" s="66"/>
      <c r="R255" s="66"/>
      <c r="S255" s="88">
        <f>SUM(Q255:R255)</f>
        <v>0</v>
      </c>
      <c r="T255" s="158"/>
      <c r="U255" s="159"/>
      <c r="V255" s="159"/>
      <c r="W255" s="159"/>
      <c r="X255" s="159"/>
      <c r="Y255" s="157"/>
    </row>
    <row r="256" spans="1:25">
      <c r="A256" s="104" t="s">
        <v>1053</v>
      </c>
      <c r="B256" s="66"/>
      <c r="C256" s="66"/>
      <c r="D256" s="88">
        <f>SUM(B256:C256)</f>
        <v>0</v>
      </c>
      <c r="E256" s="158"/>
      <c r="F256" s="159"/>
      <c r="G256" s="159"/>
      <c r="H256" s="159"/>
      <c r="I256" s="159"/>
      <c r="J256" s="159"/>
      <c r="K256" s="157"/>
      <c r="L256" s="160" t="s">
        <v>1053</v>
      </c>
      <c r="M256" s="159"/>
      <c r="N256" s="159"/>
      <c r="O256" s="159"/>
      <c r="P256" s="157"/>
      <c r="Q256" s="66"/>
      <c r="R256" s="66"/>
      <c r="S256" s="88">
        <f>SUM(Q256:R256)</f>
        <v>0</v>
      </c>
      <c r="T256" s="158"/>
      <c r="U256" s="159"/>
      <c r="V256" s="159"/>
      <c r="W256" s="159"/>
      <c r="X256" s="159"/>
      <c r="Y256" s="157"/>
    </row>
    <row r="257" spans="1:25">
      <c r="A257" s="104" t="s">
        <v>1054</v>
      </c>
      <c r="B257" s="66"/>
      <c r="C257" s="66"/>
      <c r="D257" s="88">
        <f>SUM(B257:C257)</f>
        <v>0</v>
      </c>
      <c r="E257" s="158"/>
      <c r="F257" s="159"/>
      <c r="G257" s="159"/>
      <c r="H257" s="159"/>
      <c r="I257" s="159"/>
      <c r="J257" s="159"/>
      <c r="K257" s="157"/>
      <c r="L257" s="160" t="s">
        <v>1054</v>
      </c>
      <c r="M257" s="159"/>
      <c r="N257" s="159"/>
      <c r="O257" s="159"/>
      <c r="P257" s="157"/>
      <c r="Q257" s="66"/>
      <c r="R257" s="66"/>
      <c r="S257" s="88">
        <f>SUM(Q257:R257)</f>
        <v>0</v>
      </c>
      <c r="T257" s="158"/>
      <c r="U257" s="159"/>
      <c r="V257" s="159"/>
      <c r="W257" s="159"/>
      <c r="X257" s="159"/>
      <c r="Y257" s="157"/>
    </row>
    <row r="258" spans="1:25">
      <c r="A258" s="104" t="s">
        <v>1059</v>
      </c>
      <c r="B258" s="66"/>
      <c r="C258" s="66"/>
      <c r="D258" s="88">
        <f>SUM(B258:C258)</f>
        <v>0</v>
      </c>
      <c r="E258" s="158"/>
      <c r="F258" s="159"/>
      <c r="G258" s="159"/>
      <c r="H258" s="159"/>
      <c r="I258" s="159"/>
      <c r="J258" s="159"/>
      <c r="K258" s="157"/>
      <c r="L258" s="160" t="s">
        <v>1060</v>
      </c>
      <c r="M258" s="159"/>
      <c r="N258" s="159"/>
      <c r="O258" s="159"/>
      <c r="P258" s="157"/>
      <c r="Q258" s="66"/>
      <c r="R258" s="66"/>
      <c r="S258" s="88">
        <f>SUM(Q258:R258)</f>
        <v>0</v>
      </c>
      <c r="T258" s="158"/>
      <c r="U258" s="159"/>
      <c r="V258" s="159"/>
      <c r="W258" s="159"/>
      <c r="X258" s="159"/>
      <c r="Y258" s="157"/>
    </row>
    <row r="259" spans="1:25">
      <c r="A259" s="104" t="s">
        <v>1061</v>
      </c>
      <c r="B259" s="66"/>
      <c r="C259" s="66"/>
      <c r="D259" s="88">
        <f>SUM(B259:C259)</f>
        <v>0</v>
      </c>
      <c r="E259" s="158"/>
      <c r="F259" s="159"/>
      <c r="G259" s="159"/>
      <c r="H259" s="159"/>
      <c r="I259" s="159"/>
      <c r="J259" s="159"/>
      <c r="K259" s="157"/>
      <c r="L259" s="160" t="s">
        <v>1051</v>
      </c>
      <c r="M259" s="159"/>
      <c r="N259" s="159"/>
      <c r="O259" s="159"/>
      <c r="P259" s="157"/>
      <c r="Q259" s="66"/>
      <c r="R259" s="66"/>
      <c r="S259" s="88">
        <f>SUM(Q259:R259)</f>
        <v>0</v>
      </c>
      <c r="T259" s="158"/>
      <c r="U259" s="159"/>
      <c r="V259" s="159"/>
      <c r="W259" s="159"/>
      <c r="X259" s="159"/>
      <c r="Y259" s="157"/>
    </row>
    <row r="260" spans="1:25">
      <c r="A260" s="104" t="s">
        <v>1062</v>
      </c>
      <c r="B260" s="66"/>
      <c r="C260" s="66"/>
      <c r="D260" s="88">
        <f>SUM(B260:C260)</f>
        <v>0</v>
      </c>
      <c r="E260" s="158"/>
      <c r="F260" s="159"/>
      <c r="G260" s="159"/>
      <c r="H260" s="159"/>
      <c r="I260" s="159"/>
      <c r="J260" s="159"/>
      <c r="K260" s="157"/>
      <c r="L260" s="160" t="s">
        <v>1052</v>
      </c>
      <c r="M260" s="159"/>
      <c r="N260" s="159"/>
      <c r="O260" s="159"/>
      <c r="P260" s="157"/>
      <c r="Q260" s="66"/>
      <c r="R260" s="66"/>
      <c r="S260" s="88">
        <f>SUM(Q260:R260)</f>
        <v>0</v>
      </c>
      <c r="T260" s="158"/>
      <c r="U260" s="159"/>
      <c r="V260" s="159"/>
      <c r="W260" s="159"/>
      <c r="X260" s="159"/>
      <c r="Y260" s="157"/>
    </row>
    <row r="261" spans="1:25">
      <c r="A261" s="104" t="s">
        <v>1063</v>
      </c>
      <c r="B261" s="66"/>
      <c r="C261" s="66"/>
      <c r="D261" s="88">
        <f>SUM(B261:C261)</f>
        <v>0</v>
      </c>
      <c r="E261" s="158"/>
      <c r="F261" s="159"/>
      <c r="G261" s="159"/>
      <c r="H261" s="159"/>
      <c r="I261" s="159"/>
      <c r="J261" s="159"/>
      <c r="K261" s="157"/>
      <c r="L261" s="160" t="s">
        <v>1053</v>
      </c>
      <c r="M261" s="159"/>
      <c r="N261" s="159"/>
      <c r="O261" s="159"/>
      <c r="P261" s="157"/>
      <c r="Q261" s="66"/>
      <c r="R261" s="66"/>
      <c r="S261" s="88">
        <f>SUM(Q261:R261)</f>
        <v>0</v>
      </c>
      <c r="T261" s="158"/>
      <c r="U261" s="159"/>
      <c r="V261" s="159"/>
      <c r="W261" s="159"/>
      <c r="X261" s="159"/>
      <c r="Y261" s="157"/>
    </row>
    <row r="262" spans="1:25">
      <c r="A262" s="104" t="s">
        <v>1064</v>
      </c>
      <c r="B262" s="66"/>
      <c r="C262" s="66"/>
      <c r="D262" s="88">
        <f>SUM(B262:C262)</f>
        <v>0</v>
      </c>
      <c r="E262" s="158"/>
      <c r="F262" s="159"/>
      <c r="G262" s="159"/>
      <c r="H262" s="159"/>
      <c r="I262" s="159"/>
      <c r="J262" s="159"/>
      <c r="K262" s="157"/>
      <c r="L262" s="160" t="s">
        <v>1054</v>
      </c>
      <c r="M262" s="159"/>
      <c r="N262" s="159"/>
      <c r="O262" s="159"/>
      <c r="P262" s="157"/>
      <c r="Q262" s="66"/>
      <c r="R262" s="66"/>
      <c r="S262" s="88">
        <f>SUM(Q262:R262)</f>
        <v>0</v>
      </c>
      <c r="T262" s="158"/>
      <c r="U262" s="159"/>
      <c r="V262" s="159"/>
      <c r="W262" s="159"/>
      <c r="X262" s="159"/>
      <c r="Y262" s="157"/>
    </row>
    <row r="263" spans="1:25">
      <c r="A263" s="104" t="s">
        <v>1065</v>
      </c>
      <c r="B263" s="66"/>
      <c r="C263" s="66"/>
      <c r="D263" s="88">
        <f>SUM(B263:C263)</f>
        <v>0</v>
      </c>
      <c r="E263" s="158"/>
      <c r="F263" s="159"/>
      <c r="G263" s="159"/>
      <c r="H263" s="159"/>
      <c r="I263" s="159"/>
      <c r="J263" s="159"/>
      <c r="K263" s="157"/>
      <c r="L263" s="160" t="s">
        <v>1066</v>
      </c>
      <c r="M263" s="159"/>
      <c r="N263" s="159"/>
      <c r="O263" s="159"/>
      <c r="P263" s="157"/>
      <c r="Q263" s="66">
        <f>SUM(Q264,Q266,Q265,Q267)</f>
        <v>0</v>
      </c>
      <c r="R263" s="66">
        <f>SUM(R264,R266,R265,R267)</f>
        <v>0</v>
      </c>
      <c r="S263" s="88">
        <f>SUM(Q263:R263)</f>
        <v>0</v>
      </c>
      <c r="T263" s="208"/>
      <c r="U263" s="209"/>
      <c r="V263" s="209"/>
      <c r="W263" s="209"/>
      <c r="X263" s="209"/>
      <c r="Y263" s="210"/>
    </row>
    <row r="264" spans="1:25">
      <c r="A264" s="104" t="s">
        <v>1067</v>
      </c>
      <c r="B264" s="66"/>
      <c r="C264" s="66"/>
      <c r="D264" s="88">
        <f>SUM(B264:C264)</f>
        <v>0</v>
      </c>
      <c r="E264" s="158"/>
      <c r="F264" s="159"/>
      <c r="G264" s="159"/>
      <c r="H264" s="159"/>
      <c r="I264" s="159"/>
      <c r="J264" s="159"/>
      <c r="K264" s="157"/>
      <c r="L264" s="160" t="s">
        <v>1051</v>
      </c>
      <c r="M264" s="159"/>
      <c r="N264" s="159"/>
      <c r="O264" s="159"/>
      <c r="P264" s="157"/>
      <c r="Q264" s="66"/>
      <c r="R264" s="66"/>
      <c r="S264" s="88">
        <f>SUM(Q264:R264)</f>
        <v>0</v>
      </c>
      <c r="T264" s="211"/>
      <c r="U264" s="212"/>
      <c r="V264" s="212"/>
      <c r="W264" s="212"/>
      <c r="X264" s="212"/>
      <c r="Y264" s="213"/>
    </row>
    <row r="265" spans="1:25">
      <c r="A265" s="104" t="s">
        <v>1068</v>
      </c>
      <c r="B265" s="66"/>
      <c r="C265" s="66"/>
      <c r="D265" s="88">
        <f>SUM(B265:C265)</f>
        <v>0</v>
      </c>
      <c r="E265" s="158"/>
      <c r="F265" s="159"/>
      <c r="G265" s="159"/>
      <c r="H265" s="159"/>
      <c r="I265" s="159"/>
      <c r="J265" s="159"/>
      <c r="K265" s="157"/>
      <c r="L265" s="160" t="s">
        <v>1052</v>
      </c>
      <c r="M265" s="159"/>
      <c r="N265" s="159"/>
      <c r="O265" s="159"/>
      <c r="P265" s="157"/>
      <c r="Q265" s="66"/>
      <c r="R265" s="66"/>
      <c r="S265" s="88">
        <f>SUM(Q265:R265)</f>
        <v>0</v>
      </c>
      <c r="T265" s="211"/>
      <c r="U265" s="212"/>
      <c r="V265" s="212"/>
      <c r="W265" s="212"/>
      <c r="X265" s="212"/>
      <c r="Y265" s="213"/>
    </row>
    <row r="266" spans="1:25">
      <c r="A266" s="104" t="s">
        <v>1069</v>
      </c>
      <c r="B266" s="66"/>
      <c r="C266" s="66"/>
      <c r="D266" s="88">
        <f>SUM(B266:C266)</f>
        <v>0</v>
      </c>
      <c r="E266" s="158"/>
      <c r="F266" s="159"/>
      <c r="G266" s="159"/>
      <c r="H266" s="159"/>
      <c r="I266" s="159"/>
      <c r="J266" s="159"/>
      <c r="K266" s="157"/>
      <c r="L266" s="160" t="s">
        <v>1053</v>
      </c>
      <c r="M266" s="159"/>
      <c r="N266" s="159"/>
      <c r="O266" s="159"/>
      <c r="P266" s="157"/>
      <c r="Q266" s="66"/>
      <c r="R266" s="66"/>
      <c r="S266" s="88">
        <f>SUM(Q266:R266)</f>
        <v>0</v>
      </c>
      <c r="T266" s="211"/>
      <c r="U266" s="212"/>
      <c r="V266" s="212"/>
      <c r="W266" s="212"/>
      <c r="X266" s="212"/>
      <c r="Y266" s="213"/>
    </row>
    <row r="267" spans="1:25">
      <c r="A267" s="104" t="s">
        <v>1070</v>
      </c>
      <c r="B267" s="66"/>
      <c r="C267" s="66"/>
      <c r="D267" s="88">
        <f>SUM(B267:C267)</f>
        <v>0</v>
      </c>
      <c r="E267" s="158"/>
      <c r="F267" s="159"/>
      <c r="G267" s="159"/>
      <c r="H267" s="159"/>
      <c r="I267" s="159"/>
      <c r="J267" s="159"/>
      <c r="K267" s="157"/>
      <c r="L267" s="160" t="s">
        <v>1054</v>
      </c>
      <c r="M267" s="159"/>
      <c r="N267" s="159"/>
      <c r="O267" s="159"/>
      <c r="P267" s="157"/>
      <c r="Q267" s="66"/>
      <c r="R267" s="66"/>
      <c r="S267" s="88">
        <f>SUM(Q267:R267)</f>
        <v>0</v>
      </c>
      <c r="T267" s="214"/>
      <c r="U267" s="215"/>
      <c r="V267" s="215"/>
      <c r="W267" s="215"/>
      <c r="X267" s="215"/>
      <c r="Y267" s="216"/>
    </row>
    <row r="268" spans="1:25">
      <c r="A268" s="104" t="s">
        <v>1071</v>
      </c>
      <c r="B268" s="66"/>
      <c r="C268" s="66"/>
      <c r="D268" s="88">
        <f>SUM(B268:C268)</f>
        <v>0</v>
      </c>
      <c r="E268" s="158"/>
      <c r="F268" s="159"/>
      <c r="G268" s="159"/>
      <c r="H268" s="159"/>
      <c r="I268" s="159"/>
      <c r="J268" s="159"/>
      <c r="K268" s="157"/>
      <c r="L268" s="105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7"/>
    </row>
    <row r="269" spans="1:25">
      <c r="A269" s="148" t="s">
        <v>773</v>
      </c>
      <c r="B269" s="133" t="s">
        <v>830</v>
      </c>
      <c r="C269" s="134"/>
      <c r="D269" s="135"/>
      <c r="E269" s="127" t="s">
        <v>736</v>
      </c>
      <c r="F269" s="128"/>
      <c r="G269" s="128"/>
      <c r="H269" s="128"/>
      <c r="I269" s="128"/>
      <c r="J269" s="128"/>
      <c r="K269" s="129"/>
      <c r="L269" s="187" t="s">
        <v>773</v>
      </c>
      <c r="M269" s="141"/>
      <c r="N269" s="141"/>
      <c r="O269" s="141"/>
      <c r="P269" s="186"/>
      <c r="Q269" s="189" t="s">
        <v>830</v>
      </c>
      <c r="R269" s="131"/>
      <c r="S269" s="132"/>
      <c r="T269" s="185" t="s">
        <v>736</v>
      </c>
      <c r="U269" s="141"/>
      <c r="V269" s="141"/>
      <c r="W269" s="141"/>
      <c r="X269" s="141"/>
      <c r="Y269" s="186"/>
    </row>
    <row r="270" spans="1:25">
      <c r="A270" s="137"/>
      <c r="B270" s="51" t="s">
        <v>831</v>
      </c>
      <c r="C270" s="51" t="s">
        <v>832</v>
      </c>
      <c r="D270" s="51" t="s">
        <v>833</v>
      </c>
      <c r="E270" s="130"/>
      <c r="F270" s="131"/>
      <c r="G270" s="131"/>
      <c r="H270" s="131"/>
      <c r="I270" s="131"/>
      <c r="J270" s="131"/>
      <c r="K270" s="132"/>
      <c r="L270" s="130"/>
      <c r="M270" s="131"/>
      <c r="N270" s="131"/>
      <c r="O270" s="131"/>
      <c r="P270" s="132"/>
      <c r="Q270" s="51" t="s">
        <v>831</v>
      </c>
      <c r="R270" s="51" t="s">
        <v>832</v>
      </c>
      <c r="S270" s="51" t="s">
        <v>833</v>
      </c>
      <c r="T270" s="130"/>
      <c r="U270" s="131"/>
      <c r="V270" s="131"/>
      <c r="W270" s="131"/>
      <c r="X270" s="131"/>
      <c r="Y270" s="132"/>
    </row>
    <row r="271" spans="1:25">
      <c r="A271" s="153" t="s">
        <v>1072</v>
      </c>
      <c r="B271" s="154"/>
      <c r="C271" s="154"/>
      <c r="D271" s="154"/>
      <c r="E271" s="154"/>
      <c r="F271" s="154"/>
      <c r="G271" s="154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  <c r="X271" s="154"/>
      <c r="Y271" s="154"/>
    </row>
    <row r="272" spans="1:25" customHeight="1" ht="24">
      <c r="A272" s="70" t="s">
        <v>1073</v>
      </c>
      <c r="B272" s="66"/>
      <c r="C272" s="66"/>
      <c r="D272" s="88">
        <f>SUM(B272:C272)</f>
        <v>0</v>
      </c>
      <c r="E272" s="158"/>
      <c r="F272" s="159"/>
      <c r="G272" s="159"/>
      <c r="H272" s="159"/>
      <c r="I272" s="159"/>
      <c r="J272" s="159"/>
      <c r="K272" s="157"/>
      <c r="L272" s="160" t="s">
        <v>1074</v>
      </c>
      <c r="M272" s="159"/>
      <c r="N272" s="159"/>
      <c r="O272" s="159"/>
      <c r="P272" s="157"/>
      <c r="Q272" s="66"/>
      <c r="R272" s="66"/>
      <c r="S272" s="88">
        <f>SUM(Q272:R272)</f>
        <v>0</v>
      </c>
      <c r="T272" s="158"/>
      <c r="U272" s="159"/>
      <c r="V272" s="159"/>
      <c r="W272" s="159"/>
      <c r="X272" s="159"/>
      <c r="Y272" s="157"/>
    </row>
    <row r="273" spans="1:25">
      <c r="A273" s="70" t="s">
        <v>1031</v>
      </c>
      <c r="B273" s="66"/>
      <c r="C273" s="66"/>
      <c r="D273" s="88">
        <f>SUM(B273:C273)</f>
        <v>0</v>
      </c>
      <c r="E273" s="158"/>
      <c r="F273" s="159"/>
      <c r="G273" s="159"/>
      <c r="H273" s="159"/>
      <c r="I273" s="159"/>
      <c r="J273" s="159"/>
      <c r="K273" s="157"/>
      <c r="L273" s="160" t="s">
        <v>1075</v>
      </c>
      <c r="M273" s="159"/>
      <c r="N273" s="159"/>
      <c r="O273" s="159"/>
      <c r="P273" s="157"/>
      <c r="Q273" s="66"/>
      <c r="R273" s="66"/>
      <c r="S273" s="88">
        <f>SUM(Q273:R273)</f>
        <v>0</v>
      </c>
      <c r="T273" s="158"/>
      <c r="U273" s="159"/>
      <c r="V273" s="159"/>
      <c r="W273" s="159"/>
      <c r="X273" s="159"/>
      <c r="Y273" s="157"/>
    </row>
    <row r="274" spans="1:25">
      <c r="A274" s="70" t="s">
        <v>1033</v>
      </c>
      <c r="B274" s="66"/>
      <c r="C274" s="66"/>
      <c r="D274" s="88">
        <f>SUM(B274:C274)</f>
        <v>0</v>
      </c>
      <c r="E274" s="158"/>
      <c r="F274" s="159"/>
      <c r="G274" s="159"/>
      <c r="H274" s="159"/>
      <c r="I274" s="159"/>
      <c r="J274" s="159"/>
      <c r="K274" s="157"/>
      <c r="L274" s="160" t="s">
        <v>1076</v>
      </c>
      <c r="M274" s="159"/>
      <c r="N274" s="159"/>
      <c r="O274" s="159"/>
      <c r="P274" s="157"/>
      <c r="Q274" s="66"/>
      <c r="R274" s="66"/>
      <c r="S274" s="88">
        <f>SUM(Q274:R274)</f>
        <v>0</v>
      </c>
      <c r="T274" s="158"/>
      <c r="U274" s="159"/>
      <c r="V274" s="159"/>
      <c r="W274" s="159"/>
      <c r="X274" s="159"/>
      <c r="Y274" s="157"/>
    </row>
    <row r="275" spans="1:25">
      <c r="A275" s="70" t="s">
        <v>1077</v>
      </c>
      <c r="B275" s="66"/>
      <c r="C275" s="66"/>
      <c r="D275" s="88">
        <f>SUM(B275:C275)</f>
        <v>0</v>
      </c>
      <c r="E275" s="158"/>
      <c r="F275" s="159"/>
      <c r="G275" s="159"/>
      <c r="H275" s="159"/>
      <c r="I275" s="159"/>
      <c r="J275" s="159"/>
      <c r="K275" s="157"/>
      <c r="L275" s="160" t="s">
        <v>1078</v>
      </c>
      <c r="M275" s="159"/>
      <c r="N275" s="159"/>
      <c r="O275" s="159"/>
      <c r="P275" s="157"/>
      <c r="Q275" s="66"/>
      <c r="R275" s="66"/>
      <c r="S275" s="88">
        <f>SUM(Q275:R275)</f>
        <v>0</v>
      </c>
      <c r="T275" s="158"/>
      <c r="U275" s="159"/>
      <c r="V275" s="159"/>
      <c r="W275" s="159"/>
      <c r="X275" s="159"/>
      <c r="Y275" s="157"/>
    </row>
    <row r="276" spans="1:25">
      <c r="A276" s="70" t="s">
        <v>1079</v>
      </c>
      <c r="B276" s="66"/>
      <c r="C276" s="66"/>
      <c r="D276" s="88">
        <f>SUM(B276:C276)</f>
        <v>0</v>
      </c>
      <c r="E276" s="158"/>
      <c r="F276" s="159"/>
      <c r="G276" s="159"/>
      <c r="H276" s="159"/>
      <c r="I276" s="159"/>
      <c r="J276" s="159"/>
      <c r="K276" s="157"/>
      <c r="L276" s="160" t="s">
        <v>1080</v>
      </c>
      <c r="M276" s="159"/>
      <c r="N276" s="159"/>
      <c r="O276" s="159"/>
      <c r="P276" s="157"/>
      <c r="Q276" s="66"/>
      <c r="R276" s="66"/>
      <c r="S276" s="88">
        <f>SUM(Q276:R276)</f>
        <v>0</v>
      </c>
      <c r="T276" s="158"/>
      <c r="U276" s="159"/>
      <c r="V276" s="159"/>
      <c r="W276" s="159"/>
      <c r="X276" s="159"/>
      <c r="Y276" s="157"/>
    </row>
    <row r="277" spans="1:25">
      <c r="A277" s="70" t="s">
        <v>1081</v>
      </c>
      <c r="B277" s="66"/>
      <c r="C277" s="66"/>
      <c r="D277" s="88">
        <f>SUM(B277:C277)</f>
        <v>0</v>
      </c>
      <c r="E277" s="158"/>
      <c r="F277" s="159"/>
      <c r="G277" s="159"/>
      <c r="H277" s="159"/>
      <c r="I277" s="159"/>
      <c r="J277" s="159"/>
      <c r="K277" s="157"/>
      <c r="L277" s="160" t="s">
        <v>1082</v>
      </c>
      <c r="M277" s="159"/>
      <c r="N277" s="159"/>
      <c r="O277" s="159"/>
      <c r="P277" s="157"/>
      <c r="Q277" s="66"/>
      <c r="R277" s="66"/>
      <c r="S277" s="88">
        <f>SUM(Q277:R277)</f>
        <v>0</v>
      </c>
      <c r="T277" s="158"/>
      <c r="U277" s="159"/>
      <c r="V277" s="159"/>
      <c r="W277" s="159"/>
      <c r="X277" s="159"/>
      <c r="Y277" s="157"/>
    </row>
    <row r="278" spans="1:25" customHeight="1" ht="24">
      <c r="A278" s="70" t="s">
        <v>1083</v>
      </c>
      <c r="B278" s="66"/>
      <c r="C278" s="66"/>
      <c r="D278" s="88">
        <f>SUM(B278:C278)</f>
        <v>0</v>
      </c>
      <c r="E278" s="158"/>
      <c r="F278" s="159"/>
      <c r="G278" s="159"/>
      <c r="H278" s="159"/>
      <c r="I278" s="159"/>
      <c r="J278" s="159"/>
      <c r="K278" s="157"/>
      <c r="L278" s="160" t="s">
        <v>1084</v>
      </c>
      <c r="M278" s="159"/>
      <c r="N278" s="159"/>
      <c r="O278" s="159"/>
      <c r="P278" s="157"/>
      <c r="Q278" s="66"/>
      <c r="R278" s="66"/>
      <c r="S278" s="88">
        <f>SUM(Q278:R278)</f>
        <v>0</v>
      </c>
      <c r="T278" s="158"/>
      <c r="U278" s="159"/>
      <c r="V278" s="159"/>
      <c r="W278" s="159"/>
      <c r="X278" s="159"/>
      <c r="Y278" s="157"/>
    </row>
    <row r="279" spans="1:25">
      <c r="A279" s="70" t="s">
        <v>1075</v>
      </c>
      <c r="B279" s="66"/>
      <c r="C279" s="66"/>
      <c r="D279" s="88">
        <f>SUM(B279:C279)</f>
        <v>0</v>
      </c>
      <c r="E279" s="158"/>
      <c r="F279" s="159"/>
      <c r="G279" s="159"/>
      <c r="H279" s="159"/>
      <c r="I279" s="159"/>
      <c r="J279" s="159"/>
      <c r="K279" s="157"/>
      <c r="L279" s="160" t="s">
        <v>1085</v>
      </c>
      <c r="M279" s="159"/>
      <c r="N279" s="159"/>
      <c r="O279" s="159"/>
      <c r="P279" s="157"/>
      <c r="Q279" s="66"/>
      <c r="R279" s="66"/>
      <c r="S279" s="88">
        <f>SUM(Q279:R279)</f>
        <v>0</v>
      </c>
      <c r="T279" s="158"/>
      <c r="U279" s="159"/>
      <c r="V279" s="159"/>
      <c r="W279" s="159"/>
      <c r="X279" s="159"/>
      <c r="Y279" s="157"/>
    </row>
    <row r="280" spans="1:25">
      <c r="A280" s="70" t="s">
        <v>1076</v>
      </c>
      <c r="B280" s="66"/>
      <c r="C280" s="66"/>
      <c r="D280" s="88">
        <f>SUM(B280:C280)</f>
        <v>0</v>
      </c>
      <c r="E280" s="158"/>
      <c r="F280" s="159"/>
      <c r="G280" s="159"/>
      <c r="H280" s="159"/>
      <c r="I280" s="159"/>
      <c r="J280" s="159"/>
      <c r="K280" s="157"/>
      <c r="L280" s="160" t="s">
        <v>1086</v>
      </c>
      <c r="M280" s="159"/>
      <c r="N280" s="159"/>
      <c r="O280" s="159"/>
      <c r="P280" s="157"/>
      <c r="Q280" s="66"/>
      <c r="R280" s="66"/>
      <c r="S280" s="88">
        <f>SUM(Q280:R280)</f>
        <v>0</v>
      </c>
      <c r="T280" s="158"/>
      <c r="U280" s="159"/>
      <c r="V280" s="159"/>
      <c r="W280" s="159"/>
      <c r="X280" s="159"/>
      <c r="Y280" s="157"/>
    </row>
    <row r="281" spans="1:25">
      <c r="A281" s="70" t="s">
        <v>1078</v>
      </c>
      <c r="B281" s="66"/>
      <c r="C281" s="66"/>
      <c r="D281" s="88">
        <f>SUM(B281:C281)</f>
        <v>0</v>
      </c>
      <c r="E281" s="158"/>
      <c r="F281" s="159"/>
      <c r="G281" s="159"/>
      <c r="H281" s="159"/>
      <c r="I281" s="159"/>
      <c r="J281" s="159"/>
      <c r="K281" s="157"/>
      <c r="L281" s="160" t="s">
        <v>1087</v>
      </c>
      <c r="M281" s="159"/>
      <c r="N281" s="159"/>
      <c r="O281" s="159"/>
      <c r="P281" s="157"/>
      <c r="Q281" s="66"/>
      <c r="R281" s="66"/>
      <c r="S281" s="88">
        <f>SUM(Q281:R281)</f>
        <v>0</v>
      </c>
      <c r="T281" s="158"/>
      <c r="U281" s="159"/>
      <c r="V281" s="159"/>
      <c r="W281" s="159"/>
      <c r="X281" s="159"/>
      <c r="Y281" s="157"/>
    </row>
    <row r="282" spans="1:25">
      <c r="A282" s="70" t="s">
        <v>1080</v>
      </c>
      <c r="B282" s="66"/>
      <c r="C282" s="66"/>
      <c r="D282" s="88">
        <f>SUM(B282:C282)</f>
        <v>0</v>
      </c>
      <c r="E282" s="158"/>
      <c r="F282" s="159"/>
      <c r="G282" s="159"/>
      <c r="H282" s="159"/>
      <c r="I282" s="159"/>
      <c r="J282" s="159"/>
      <c r="K282" s="157"/>
      <c r="L282" s="160" t="s">
        <v>1088</v>
      </c>
      <c r="M282" s="159"/>
      <c r="N282" s="159"/>
      <c r="O282" s="159"/>
      <c r="P282" s="157"/>
      <c r="Q282" s="66"/>
      <c r="R282" s="66"/>
      <c r="S282" s="88">
        <f>SUM(Q282:R282)</f>
        <v>0</v>
      </c>
      <c r="T282" s="158"/>
      <c r="U282" s="159"/>
      <c r="V282" s="159"/>
      <c r="W282" s="159"/>
      <c r="X282" s="159"/>
      <c r="Y282" s="157"/>
    </row>
    <row r="283" spans="1:25">
      <c r="A283" s="70" t="s">
        <v>1082</v>
      </c>
      <c r="B283" s="66"/>
      <c r="C283" s="66"/>
      <c r="D283" s="88">
        <f>SUM(B283:C283)</f>
        <v>0</v>
      </c>
      <c r="E283" s="158"/>
      <c r="F283" s="159"/>
      <c r="G283" s="159"/>
      <c r="H283" s="159"/>
      <c r="I283" s="159"/>
      <c r="J283" s="159"/>
      <c r="K283" s="157"/>
      <c r="L283" s="160" t="s">
        <v>1089</v>
      </c>
      <c r="M283" s="159"/>
      <c r="N283" s="159"/>
      <c r="O283" s="159"/>
      <c r="P283" s="157"/>
      <c r="Q283" s="66"/>
      <c r="R283" s="66"/>
      <c r="S283" s="88">
        <f>SUM(Q283:R283)</f>
        <v>0</v>
      </c>
      <c r="T283" s="158"/>
      <c r="U283" s="159"/>
      <c r="V283" s="159"/>
      <c r="W283" s="159"/>
      <c r="X283" s="159"/>
      <c r="Y283" s="157"/>
    </row>
    <row r="284" spans="1:25">
      <c r="A284" s="70" t="s">
        <v>1084</v>
      </c>
      <c r="B284" s="66"/>
      <c r="C284" s="66"/>
      <c r="D284" s="88">
        <f>SUM(B284:C284)</f>
        <v>0</v>
      </c>
      <c r="E284" s="158"/>
      <c r="F284" s="159"/>
      <c r="G284" s="159"/>
      <c r="H284" s="159"/>
      <c r="I284" s="159"/>
      <c r="J284" s="159"/>
      <c r="K284" s="157"/>
      <c r="L284" s="160" t="s">
        <v>1090</v>
      </c>
      <c r="M284" s="159"/>
      <c r="N284" s="159"/>
      <c r="O284" s="159"/>
      <c r="P284" s="157"/>
      <c r="Q284" s="66"/>
      <c r="R284" s="66"/>
      <c r="S284" s="88">
        <f>SUM(Q284:R284)</f>
        <v>0</v>
      </c>
      <c r="T284" s="158"/>
      <c r="U284" s="159"/>
      <c r="V284" s="159"/>
      <c r="W284" s="159"/>
      <c r="X284" s="159"/>
      <c r="Y284" s="157"/>
    </row>
    <row r="285" spans="1:25">
      <c r="A285" s="70" t="s">
        <v>1085</v>
      </c>
      <c r="B285" s="66"/>
      <c r="C285" s="66"/>
      <c r="D285" s="88">
        <f>SUM(B285:C285)</f>
        <v>0</v>
      </c>
      <c r="E285" s="158"/>
      <c r="F285" s="159"/>
      <c r="G285" s="159"/>
      <c r="H285" s="159"/>
      <c r="I285" s="159"/>
      <c r="J285" s="159"/>
      <c r="K285" s="157"/>
      <c r="L285" s="160" t="s">
        <v>1091</v>
      </c>
      <c r="M285" s="159"/>
      <c r="N285" s="159"/>
      <c r="O285" s="159"/>
      <c r="P285" s="157"/>
      <c r="Q285" s="66"/>
      <c r="R285" s="66"/>
      <c r="S285" s="88">
        <f>SUM(Q285:R285)</f>
        <v>0</v>
      </c>
      <c r="T285" s="158"/>
      <c r="U285" s="159"/>
      <c r="V285" s="159"/>
      <c r="W285" s="159"/>
      <c r="X285" s="159"/>
      <c r="Y285" s="157"/>
    </row>
    <row r="286" spans="1:25">
      <c r="A286" s="70" t="s">
        <v>1086</v>
      </c>
      <c r="B286" s="66"/>
      <c r="C286" s="66"/>
      <c r="D286" s="88">
        <f>SUM(B286:C286)</f>
        <v>0</v>
      </c>
      <c r="E286" s="158"/>
      <c r="F286" s="159"/>
      <c r="G286" s="159"/>
      <c r="H286" s="159"/>
      <c r="I286" s="159"/>
      <c r="J286" s="159"/>
      <c r="K286" s="157"/>
      <c r="L286" s="160" t="s">
        <v>1092</v>
      </c>
      <c r="M286" s="159"/>
      <c r="N286" s="159"/>
      <c r="O286" s="159"/>
      <c r="P286" s="157"/>
      <c r="Q286" s="66"/>
      <c r="R286" s="66"/>
      <c r="S286" s="88">
        <f>SUM(Q286:R286)</f>
        <v>0</v>
      </c>
      <c r="T286" s="158"/>
      <c r="U286" s="159"/>
      <c r="V286" s="159"/>
      <c r="W286" s="159"/>
      <c r="X286" s="159"/>
      <c r="Y286" s="157"/>
    </row>
    <row r="287" spans="1:25">
      <c r="A287" s="70" t="s">
        <v>1087</v>
      </c>
      <c r="B287" s="66"/>
      <c r="C287" s="66"/>
      <c r="D287" s="88">
        <f>SUM(B287:C287)</f>
        <v>0</v>
      </c>
      <c r="E287" s="158"/>
      <c r="F287" s="159"/>
      <c r="G287" s="159"/>
      <c r="H287" s="159"/>
      <c r="I287" s="159"/>
      <c r="J287" s="159"/>
      <c r="K287" s="157"/>
      <c r="L287" s="160" t="s">
        <v>1093</v>
      </c>
      <c r="M287" s="159"/>
      <c r="N287" s="159"/>
      <c r="O287" s="159"/>
      <c r="P287" s="157"/>
      <c r="Q287" s="66"/>
      <c r="R287" s="66"/>
      <c r="S287" s="88">
        <f>SUM(Q287:R287)</f>
        <v>0</v>
      </c>
      <c r="T287" s="158"/>
      <c r="U287" s="159"/>
      <c r="V287" s="159"/>
      <c r="W287" s="159"/>
      <c r="X287" s="159"/>
      <c r="Y287" s="157"/>
    </row>
    <row r="288" spans="1:25">
      <c r="A288" s="70" t="s">
        <v>1088</v>
      </c>
      <c r="B288" s="66"/>
      <c r="C288" s="66"/>
      <c r="D288" s="88">
        <f>SUM(B288:C288)</f>
        <v>0</v>
      </c>
      <c r="E288" s="158"/>
      <c r="F288" s="159"/>
      <c r="G288" s="159"/>
      <c r="H288" s="159"/>
      <c r="I288" s="159"/>
      <c r="J288" s="159"/>
      <c r="K288" s="157"/>
      <c r="L288" s="160" t="s">
        <v>1094</v>
      </c>
      <c r="M288" s="159"/>
      <c r="N288" s="159"/>
      <c r="O288" s="159"/>
      <c r="P288" s="157"/>
      <c r="Q288" s="66"/>
      <c r="R288" s="66"/>
      <c r="S288" s="88">
        <f>SUM(Q288:R288)</f>
        <v>0</v>
      </c>
      <c r="T288" s="158"/>
      <c r="U288" s="159"/>
      <c r="V288" s="159"/>
      <c r="W288" s="159"/>
      <c r="X288" s="159"/>
      <c r="Y288" s="157"/>
    </row>
    <row r="289" spans="1:25">
      <c r="A289" s="70" t="s">
        <v>1089</v>
      </c>
      <c r="B289" s="66"/>
      <c r="C289" s="66"/>
      <c r="D289" s="88">
        <f>SUM(B289:C289)</f>
        <v>0</v>
      </c>
      <c r="E289" s="158"/>
      <c r="F289" s="159"/>
      <c r="G289" s="159"/>
      <c r="H289" s="159"/>
      <c r="I289" s="159"/>
      <c r="J289" s="159"/>
      <c r="K289" s="157"/>
      <c r="L289" s="160" t="s">
        <v>1095</v>
      </c>
      <c r="M289" s="159"/>
      <c r="N289" s="159"/>
      <c r="O289" s="159"/>
      <c r="P289" s="157"/>
      <c r="Q289" s="66"/>
      <c r="R289" s="66"/>
      <c r="S289" s="88">
        <f>SUM(Q289:R289)</f>
        <v>0</v>
      </c>
      <c r="T289" s="158"/>
      <c r="U289" s="159"/>
      <c r="V289" s="159"/>
      <c r="W289" s="159"/>
      <c r="X289" s="159"/>
      <c r="Y289" s="157"/>
    </row>
    <row r="290" spans="1:25">
      <c r="A290" s="70" t="s">
        <v>1090</v>
      </c>
      <c r="B290" s="66"/>
      <c r="C290" s="66"/>
      <c r="D290" s="88">
        <f>SUM(B290:C290)</f>
        <v>0</v>
      </c>
      <c r="E290" s="158"/>
      <c r="F290" s="159"/>
      <c r="G290" s="159"/>
      <c r="H290" s="159"/>
      <c r="I290" s="159"/>
      <c r="J290" s="159"/>
      <c r="K290" s="157"/>
      <c r="L290" s="160" t="s">
        <v>1096</v>
      </c>
      <c r="M290" s="159"/>
      <c r="N290" s="159"/>
      <c r="O290" s="159"/>
      <c r="P290" s="157"/>
      <c r="Q290" s="66"/>
      <c r="R290" s="66"/>
      <c r="S290" s="88">
        <f>SUM(Q290:R290)</f>
        <v>0</v>
      </c>
      <c r="T290" s="158"/>
      <c r="U290" s="159"/>
      <c r="V290" s="159"/>
      <c r="W290" s="159"/>
      <c r="X290" s="159"/>
      <c r="Y290" s="157"/>
    </row>
    <row r="291" spans="1:25">
      <c r="A291" s="188" t="s">
        <v>773</v>
      </c>
      <c r="B291" s="189" t="s">
        <v>830</v>
      </c>
      <c r="C291" s="131"/>
      <c r="D291" s="132"/>
      <c r="E291" s="185" t="s">
        <v>736</v>
      </c>
      <c r="F291" s="141"/>
      <c r="G291" s="141"/>
      <c r="H291" s="141"/>
      <c r="I291" s="141"/>
      <c r="J291" s="141"/>
      <c r="K291" s="186"/>
      <c r="L291" s="187" t="s">
        <v>773</v>
      </c>
      <c r="M291" s="141"/>
      <c r="N291" s="141"/>
      <c r="O291" s="141"/>
      <c r="P291" s="186"/>
      <c r="Q291" s="133" t="s">
        <v>830</v>
      </c>
      <c r="R291" s="134"/>
      <c r="S291" s="135"/>
      <c r="T291" s="127" t="s">
        <v>736</v>
      </c>
      <c r="U291" s="128"/>
      <c r="V291" s="128"/>
      <c r="W291" s="128"/>
      <c r="X291" s="128"/>
      <c r="Y291" s="129"/>
    </row>
    <row r="292" spans="1:25">
      <c r="A292" s="137"/>
      <c r="B292" s="51" t="s">
        <v>831</v>
      </c>
      <c r="C292" s="51" t="s">
        <v>832</v>
      </c>
      <c r="D292" s="51" t="s">
        <v>833</v>
      </c>
      <c r="E292" s="130"/>
      <c r="F292" s="131"/>
      <c r="G292" s="131"/>
      <c r="H292" s="131"/>
      <c r="I292" s="131"/>
      <c r="J292" s="131"/>
      <c r="K292" s="132"/>
      <c r="L292" s="130"/>
      <c r="M292" s="131"/>
      <c r="N292" s="131"/>
      <c r="O292" s="131"/>
      <c r="P292" s="132"/>
      <c r="Q292" s="51" t="s">
        <v>831</v>
      </c>
      <c r="R292" s="51" t="s">
        <v>832</v>
      </c>
      <c r="S292" s="51" t="s">
        <v>833</v>
      </c>
      <c r="T292" s="130"/>
      <c r="U292" s="131"/>
      <c r="V292" s="131"/>
      <c r="W292" s="131"/>
      <c r="X292" s="131"/>
      <c r="Y292" s="132"/>
    </row>
    <row r="293" spans="1:25">
      <c r="A293" s="153" t="s">
        <v>1097</v>
      </c>
      <c r="B293" s="154"/>
      <c r="C293" s="154"/>
      <c r="D293" s="154"/>
      <c r="E293" s="154"/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</row>
    <row r="294" spans="1:25" customHeight="1" ht="36">
      <c r="A294" s="70" t="s">
        <v>1098</v>
      </c>
      <c r="B294" s="66"/>
      <c r="C294" s="66"/>
      <c r="D294" s="84"/>
      <c r="E294" s="158"/>
      <c r="F294" s="159"/>
      <c r="G294" s="159"/>
      <c r="H294" s="159"/>
      <c r="I294" s="159"/>
      <c r="J294" s="159"/>
      <c r="K294" s="157"/>
      <c r="L294" s="160" t="s">
        <v>1099</v>
      </c>
      <c r="M294" s="159"/>
      <c r="N294" s="159"/>
      <c r="O294" s="159"/>
      <c r="P294" s="157"/>
      <c r="Q294" s="66"/>
      <c r="R294" s="66"/>
      <c r="S294" s="84"/>
      <c r="T294" s="158"/>
      <c r="U294" s="159"/>
      <c r="V294" s="159"/>
      <c r="W294" s="159"/>
      <c r="X294" s="159"/>
      <c r="Y294" s="157"/>
    </row>
    <row r="295" spans="1:25">
      <c r="A295" s="70" t="s">
        <v>1100</v>
      </c>
      <c r="B295" s="66"/>
      <c r="C295" s="66"/>
      <c r="D295" s="84"/>
      <c r="E295" s="158"/>
      <c r="F295" s="159"/>
      <c r="G295" s="159"/>
      <c r="H295" s="159"/>
      <c r="I295" s="159"/>
      <c r="J295" s="159"/>
      <c r="K295" s="157"/>
      <c r="L295" s="160" t="s">
        <v>1100</v>
      </c>
      <c r="M295" s="159"/>
      <c r="N295" s="159"/>
      <c r="O295" s="159"/>
      <c r="P295" s="157"/>
      <c r="Q295" s="66"/>
      <c r="R295" s="66"/>
      <c r="S295" s="84"/>
      <c r="T295" s="158"/>
      <c r="U295" s="159"/>
      <c r="V295" s="159"/>
      <c r="W295" s="159"/>
      <c r="X295" s="159"/>
      <c r="Y295" s="157"/>
    </row>
    <row r="296" spans="1:25">
      <c r="A296" s="70" t="s">
        <v>1101</v>
      </c>
      <c r="B296" s="66"/>
      <c r="C296" s="66"/>
      <c r="D296" s="84"/>
      <c r="E296" s="158"/>
      <c r="F296" s="159"/>
      <c r="G296" s="159"/>
      <c r="H296" s="159"/>
      <c r="I296" s="159"/>
      <c r="J296" s="159"/>
      <c r="K296" s="157"/>
      <c r="L296" s="160" t="s">
        <v>1101</v>
      </c>
      <c r="M296" s="159"/>
      <c r="N296" s="159"/>
      <c r="O296" s="159"/>
      <c r="P296" s="157"/>
      <c r="Q296" s="66"/>
      <c r="R296" s="66"/>
      <c r="S296" s="84"/>
      <c r="T296" s="158"/>
      <c r="U296" s="159"/>
      <c r="V296" s="159"/>
      <c r="W296" s="159"/>
      <c r="X296" s="159"/>
      <c r="Y296" s="157"/>
    </row>
    <row r="297" spans="1:25">
      <c r="A297" s="70" t="s">
        <v>1102</v>
      </c>
      <c r="B297" s="66"/>
      <c r="C297" s="66"/>
      <c r="D297" s="84"/>
      <c r="E297" s="158"/>
      <c r="F297" s="159"/>
      <c r="G297" s="159"/>
      <c r="H297" s="159"/>
      <c r="I297" s="159"/>
      <c r="J297" s="159"/>
      <c r="K297" s="157"/>
      <c r="L297" s="160" t="s">
        <v>1102</v>
      </c>
      <c r="M297" s="159"/>
      <c r="N297" s="159"/>
      <c r="O297" s="159"/>
      <c r="P297" s="157"/>
      <c r="Q297" s="66"/>
      <c r="R297" s="66"/>
      <c r="S297" s="84"/>
      <c r="T297" s="158"/>
      <c r="U297" s="159"/>
      <c r="V297" s="159"/>
      <c r="W297" s="159"/>
      <c r="X297" s="159"/>
      <c r="Y297" s="157"/>
    </row>
    <row r="298" spans="1:25" customHeight="1" ht="24">
      <c r="A298" s="70" t="s">
        <v>1103</v>
      </c>
      <c r="B298" s="66"/>
      <c r="C298" s="66"/>
      <c r="D298" s="84"/>
      <c r="E298" s="158"/>
      <c r="F298" s="159"/>
      <c r="G298" s="159"/>
      <c r="H298" s="159"/>
      <c r="I298" s="159"/>
      <c r="J298" s="159"/>
      <c r="K298" s="157"/>
      <c r="L298" s="160" t="s">
        <v>1104</v>
      </c>
      <c r="M298" s="159"/>
      <c r="N298" s="159"/>
      <c r="O298" s="159"/>
      <c r="P298" s="157"/>
      <c r="Q298" s="66"/>
      <c r="R298" s="66"/>
      <c r="S298" s="84"/>
      <c r="T298" s="158"/>
      <c r="U298" s="159"/>
      <c r="V298" s="159"/>
      <c r="W298" s="159"/>
      <c r="X298" s="159"/>
      <c r="Y298" s="157"/>
    </row>
    <row r="299" spans="1:25">
      <c r="A299" s="70" t="s">
        <v>1100</v>
      </c>
      <c r="B299" s="66"/>
      <c r="C299" s="66"/>
      <c r="D299" s="84"/>
      <c r="E299" s="158"/>
      <c r="F299" s="159"/>
      <c r="G299" s="159"/>
      <c r="H299" s="159"/>
      <c r="I299" s="159"/>
      <c r="J299" s="159"/>
      <c r="K299" s="157"/>
      <c r="L299" s="160" t="s">
        <v>1100</v>
      </c>
      <c r="M299" s="159"/>
      <c r="N299" s="159"/>
      <c r="O299" s="159"/>
      <c r="P299" s="157"/>
      <c r="Q299" s="66"/>
      <c r="R299" s="66"/>
      <c r="S299" s="84"/>
      <c r="T299" s="158"/>
      <c r="U299" s="159"/>
      <c r="V299" s="159"/>
      <c r="W299" s="159"/>
      <c r="X299" s="159"/>
      <c r="Y299" s="157"/>
    </row>
    <row r="300" spans="1:25">
      <c r="A300" s="70" t="s">
        <v>1101</v>
      </c>
      <c r="B300" s="66"/>
      <c r="C300" s="66"/>
      <c r="D300" s="84"/>
      <c r="E300" s="158"/>
      <c r="F300" s="159"/>
      <c r="G300" s="159"/>
      <c r="H300" s="159"/>
      <c r="I300" s="159"/>
      <c r="J300" s="159"/>
      <c r="K300" s="157"/>
      <c r="L300" s="160" t="s">
        <v>1101</v>
      </c>
      <c r="M300" s="159"/>
      <c r="N300" s="159"/>
      <c r="O300" s="159"/>
      <c r="P300" s="157"/>
      <c r="Q300" s="66"/>
      <c r="R300" s="66"/>
      <c r="S300" s="84"/>
      <c r="T300" s="158"/>
      <c r="U300" s="159"/>
      <c r="V300" s="159"/>
      <c r="W300" s="159"/>
      <c r="X300" s="159"/>
      <c r="Y300" s="157"/>
    </row>
    <row r="301" spans="1:25">
      <c r="A301" s="70" t="s">
        <v>1102</v>
      </c>
      <c r="B301" s="66"/>
      <c r="C301" s="66"/>
      <c r="D301" s="84"/>
      <c r="E301" s="158"/>
      <c r="F301" s="159"/>
      <c r="G301" s="159"/>
      <c r="H301" s="159"/>
      <c r="I301" s="159"/>
      <c r="J301" s="159"/>
      <c r="K301" s="157"/>
      <c r="L301" s="160" t="s">
        <v>1102</v>
      </c>
      <c r="M301" s="159"/>
      <c r="N301" s="159"/>
      <c r="O301" s="159"/>
      <c r="P301" s="157"/>
      <c r="Q301" s="66"/>
      <c r="R301" s="66"/>
      <c r="S301" s="84"/>
      <c r="T301" s="158"/>
      <c r="U301" s="159"/>
      <c r="V301" s="159"/>
      <c r="W301" s="159"/>
      <c r="X301" s="159"/>
      <c r="Y301" s="157"/>
    </row>
    <row r="302" spans="1:25" customHeight="1" ht="24">
      <c r="A302" s="70" t="s">
        <v>1105</v>
      </c>
      <c r="B302" s="66"/>
      <c r="C302" s="66"/>
      <c r="D302" s="84"/>
      <c r="E302" s="158"/>
      <c r="F302" s="159"/>
      <c r="G302" s="159"/>
      <c r="H302" s="159"/>
      <c r="I302" s="159"/>
      <c r="J302" s="159"/>
      <c r="K302" s="157"/>
      <c r="L302" s="160" t="s">
        <v>1106</v>
      </c>
      <c r="M302" s="159"/>
      <c r="N302" s="159"/>
      <c r="O302" s="159"/>
      <c r="P302" s="157"/>
      <c r="Q302" s="66"/>
      <c r="R302" s="66"/>
      <c r="S302" s="84"/>
      <c r="T302" s="158"/>
      <c r="U302" s="159"/>
      <c r="V302" s="159"/>
      <c r="W302" s="159"/>
      <c r="X302" s="159"/>
      <c r="Y302" s="157"/>
    </row>
    <row r="303" spans="1:25">
      <c r="A303" s="70" t="s">
        <v>1100</v>
      </c>
      <c r="B303" s="66"/>
      <c r="C303" s="66"/>
      <c r="D303" s="84"/>
      <c r="E303" s="158"/>
      <c r="F303" s="159"/>
      <c r="G303" s="159"/>
      <c r="H303" s="159"/>
      <c r="I303" s="159"/>
      <c r="J303" s="159"/>
      <c r="K303" s="157"/>
      <c r="L303" s="160" t="s">
        <v>1100</v>
      </c>
      <c r="M303" s="159"/>
      <c r="N303" s="159"/>
      <c r="O303" s="159"/>
      <c r="P303" s="157"/>
      <c r="Q303" s="66"/>
      <c r="R303" s="66"/>
      <c r="S303" s="84"/>
      <c r="T303" s="158"/>
      <c r="U303" s="159"/>
      <c r="V303" s="159"/>
      <c r="W303" s="159"/>
      <c r="X303" s="159"/>
      <c r="Y303" s="157"/>
    </row>
    <row r="304" spans="1:25">
      <c r="A304" s="70" t="s">
        <v>1101</v>
      </c>
      <c r="B304" s="66"/>
      <c r="C304" s="66"/>
      <c r="D304" s="84"/>
      <c r="E304" s="158"/>
      <c r="F304" s="159"/>
      <c r="G304" s="159"/>
      <c r="H304" s="159"/>
      <c r="I304" s="159"/>
      <c r="J304" s="159"/>
      <c r="K304" s="157"/>
      <c r="L304" s="160" t="s">
        <v>1101</v>
      </c>
      <c r="M304" s="159"/>
      <c r="N304" s="159"/>
      <c r="O304" s="159"/>
      <c r="P304" s="157"/>
      <c r="Q304" s="66"/>
      <c r="R304" s="66"/>
      <c r="S304" s="84"/>
      <c r="T304" s="158"/>
      <c r="U304" s="159"/>
      <c r="V304" s="159"/>
      <c r="W304" s="159"/>
      <c r="X304" s="159"/>
      <c r="Y304" s="157"/>
    </row>
    <row r="305" spans="1:25">
      <c r="A305" s="70" t="s">
        <v>1102</v>
      </c>
      <c r="B305" s="66"/>
      <c r="C305" s="66"/>
      <c r="D305" s="84"/>
      <c r="E305" s="158"/>
      <c r="F305" s="159"/>
      <c r="G305" s="159"/>
      <c r="H305" s="159"/>
      <c r="I305" s="159"/>
      <c r="J305" s="159"/>
      <c r="K305" s="157"/>
      <c r="L305" s="160" t="s">
        <v>1102</v>
      </c>
      <c r="M305" s="159"/>
      <c r="N305" s="159"/>
      <c r="O305" s="159"/>
      <c r="P305" s="157"/>
      <c r="Q305" s="66"/>
      <c r="R305" s="66"/>
      <c r="S305" s="84"/>
      <c r="T305" s="158"/>
      <c r="U305" s="159"/>
      <c r="V305" s="159"/>
      <c r="W305" s="159"/>
      <c r="X305" s="159"/>
      <c r="Y305" s="157"/>
    </row>
    <row r="306" spans="1:25">
      <c r="A306" s="64" t="s">
        <v>1107</v>
      </c>
      <c r="B306" s="101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</row>
    <row r="307" spans="1:25" customHeight="1" ht="24">
      <c r="A307" s="65" t="s">
        <v>1108</v>
      </c>
      <c r="B307" s="108"/>
      <c r="C307" s="109"/>
      <c r="D307" s="84"/>
      <c r="E307" s="158"/>
      <c r="F307" s="159"/>
      <c r="G307" s="159"/>
      <c r="H307" s="159"/>
      <c r="I307" s="159"/>
      <c r="J307" s="159"/>
      <c r="K307" s="157"/>
      <c r="L307" s="160" t="s">
        <v>1109</v>
      </c>
      <c r="M307" s="159"/>
      <c r="N307" s="159"/>
      <c r="O307" s="159"/>
      <c r="P307" s="157"/>
      <c r="Q307" s="108"/>
      <c r="R307" s="66"/>
      <c r="S307" s="84"/>
      <c r="T307" s="158"/>
      <c r="U307" s="159"/>
      <c r="V307" s="159"/>
      <c r="W307" s="159"/>
      <c r="X307" s="159"/>
      <c r="Y307" s="157"/>
    </row>
    <row r="308" spans="1:25" customHeight="1" ht="24">
      <c r="A308" s="65" t="s">
        <v>1110</v>
      </c>
      <c r="B308" s="110"/>
      <c r="C308" s="109"/>
      <c r="D308" s="84"/>
      <c r="E308" s="158"/>
      <c r="F308" s="159"/>
      <c r="G308" s="159"/>
      <c r="H308" s="159"/>
      <c r="I308" s="159"/>
      <c r="J308" s="159"/>
      <c r="K308" s="157"/>
      <c r="L308" s="160" t="s">
        <v>1111</v>
      </c>
      <c r="M308" s="159"/>
      <c r="N308" s="159"/>
      <c r="O308" s="159"/>
      <c r="P308" s="157"/>
      <c r="Q308" s="110"/>
      <c r="R308" s="66"/>
      <c r="S308" s="84"/>
      <c r="T308" s="158"/>
      <c r="U308" s="159"/>
      <c r="V308" s="159"/>
      <c r="W308" s="159"/>
      <c r="X308" s="159"/>
      <c r="Y308" s="157"/>
    </row>
    <row r="309" spans="1: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</sheetData>
  <mergeCells>
    <mergeCell ref="E308:K308"/>
    <mergeCell ref="L308:P308"/>
    <mergeCell ref="T308:Y308"/>
    <mergeCell ref="A203:Y203"/>
    <mergeCell ref="O204:Y205"/>
    <mergeCell ref="O207:Y210"/>
    <mergeCell ref="O211:Y211"/>
    <mergeCell ref="E212:Y213"/>
    <mergeCell ref="E214:Y214"/>
    <mergeCell ref="E215:Y215"/>
    <mergeCell ref="E305:K305"/>
    <mergeCell ref="L305:P305"/>
    <mergeCell ref="T305:Y305"/>
    <mergeCell ref="E307:K307"/>
    <mergeCell ref="L307:P307"/>
    <mergeCell ref="T307:Y307"/>
    <mergeCell ref="E303:K303"/>
    <mergeCell ref="L303:P303"/>
    <mergeCell ref="T303:Y303"/>
    <mergeCell ref="E304:K304"/>
    <mergeCell ref="L304:P304"/>
    <mergeCell ref="T304:Y304"/>
    <mergeCell ref="E301:K301"/>
    <mergeCell ref="L301:P301"/>
    <mergeCell ref="T301:Y301"/>
    <mergeCell ref="E302:K302"/>
    <mergeCell ref="L302:P302"/>
    <mergeCell ref="T302:Y302"/>
    <mergeCell ref="E299:K299"/>
    <mergeCell ref="L299:P299"/>
    <mergeCell ref="T299:Y299"/>
    <mergeCell ref="E300:K300"/>
    <mergeCell ref="L300:P300"/>
    <mergeCell ref="T300:Y300"/>
    <mergeCell ref="E297:K297"/>
    <mergeCell ref="L297:P297"/>
    <mergeCell ref="T297:Y297"/>
    <mergeCell ref="E298:K298"/>
    <mergeCell ref="L298:P298"/>
    <mergeCell ref="T298:Y298"/>
    <mergeCell ref="E295:K295"/>
    <mergeCell ref="L295:P295"/>
    <mergeCell ref="T295:Y295"/>
    <mergeCell ref="E296:K296"/>
    <mergeCell ref="L296:P296"/>
    <mergeCell ref="T296:Y296"/>
    <mergeCell ref="T291:Y292"/>
    <mergeCell ref="A293:Y293"/>
    <mergeCell ref="E294:K294"/>
    <mergeCell ref="L294:P294"/>
    <mergeCell ref="T294:Y294"/>
    <mergeCell ref="A291:A292"/>
    <mergeCell ref="B291:D291"/>
    <mergeCell ref="E291:K292"/>
    <mergeCell ref="L291:P292"/>
    <mergeCell ref="Q291:S291"/>
    <mergeCell ref="E289:K289"/>
    <mergeCell ref="L289:P289"/>
    <mergeCell ref="T289:Y289"/>
    <mergeCell ref="E290:K290"/>
    <mergeCell ref="L290:P290"/>
    <mergeCell ref="T290:Y290"/>
    <mergeCell ref="E287:K287"/>
    <mergeCell ref="L287:P287"/>
    <mergeCell ref="T287:Y287"/>
    <mergeCell ref="E288:K288"/>
    <mergeCell ref="L288:P288"/>
    <mergeCell ref="T288:Y288"/>
    <mergeCell ref="E285:K285"/>
    <mergeCell ref="L285:P285"/>
    <mergeCell ref="T285:Y285"/>
    <mergeCell ref="E286:K286"/>
    <mergeCell ref="L286:P286"/>
    <mergeCell ref="T286:Y286"/>
    <mergeCell ref="E283:K283"/>
    <mergeCell ref="L283:P283"/>
    <mergeCell ref="T283:Y283"/>
    <mergeCell ref="E284:K284"/>
    <mergeCell ref="L284:P284"/>
    <mergeCell ref="T284:Y284"/>
    <mergeCell ref="E281:K281"/>
    <mergeCell ref="L281:P281"/>
    <mergeCell ref="T281:Y281"/>
    <mergeCell ref="E282:K282"/>
    <mergeCell ref="L282:P282"/>
    <mergeCell ref="T282:Y282"/>
    <mergeCell ref="E279:K279"/>
    <mergeCell ref="L279:P279"/>
    <mergeCell ref="T279:Y279"/>
    <mergeCell ref="E280:K280"/>
    <mergeCell ref="L280:P280"/>
    <mergeCell ref="T280:Y280"/>
    <mergeCell ref="E277:K277"/>
    <mergeCell ref="L277:P277"/>
    <mergeCell ref="T277:Y277"/>
    <mergeCell ref="E278:K278"/>
    <mergeCell ref="L278:P278"/>
    <mergeCell ref="T278:Y278"/>
    <mergeCell ref="E275:K275"/>
    <mergeCell ref="L275:P275"/>
    <mergeCell ref="T275:Y275"/>
    <mergeCell ref="E276:K276"/>
    <mergeCell ref="L276:P276"/>
    <mergeCell ref="T276:Y276"/>
    <mergeCell ref="E273:K273"/>
    <mergeCell ref="L273:P273"/>
    <mergeCell ref="T273:Y273"/>
    <mergeCell ref="E274:K274"/>
    <mergeCell ref="L274:P274"/>
    <mergeCell ref="T274:Y274"/>
    <mergeCell ref="Q269:S269"/>
    <mergeCell ref="T269:Y270"/>
    <mergeCell ref="A271:Y271"/>
    <mergeCell ref="E272:K272"/>
    <mergeCell ref="L272:P272"/>
    <mergeCell ref="T272:Y272"/>
    <mergeCell ref="E268:K268"/>
    <mergeCell ref="A269:A270"/>
    <mergeCell ref="B269:D269"/>
    <mergeCell ref="E269:K270"/>
    <mergeCell ref="L269:P270"/>
    <mergeCell ref="E262:K262"/>
    <mergeCell ref="L262:P262"/>
    <mergeCell ref="T262:Y262"/>
    <mergeCell ref="E263:K263"/>
    <mergeCell ref="L263:P263"/>
    <mergeCell ref="T263:Y267"/>
    <mergeCell ref="E264:K264"/>
    <mergeCell ref="L264:P264"/>
    <mergeCell ref="E265:K265"/>
    <mergeCell ref="L265:P265"/>
    <mergeCell ref="E266:K266"/>
    <mergeCell ref="L266:P266"/>
    <mergeCell ref="E267:K267"/>
    <mergeCell ref="L267:P267"/>
    <mergeCell ref="E260:K260"/>
    <mergeCell ref="L260:P260"/>
    <mergeCell ref="T260:Y260"/>
    <mergeCell ref="E261:K261"/>
    <mergeCell ref="L261:P261"/>
    <mergeCell ref="T261:Y261"/>
    <mergeCell ref="E258:K258"/>
    <mergeCell ref="L258:P258"/>
    <mergeCell ref="T258:Y258"/>
    <mergeCell ref="E259:K259"/>
    <mergeCell ref="L259:P259"/>
    <mergeCell ref="T259:Y259"/>
    <mergeCell ref="E256:K256"/>
    <mergeCell ref="L256:P256"/>
    <mergeCell ref="T256:Y256"/>
    <mergeCell ref="E257:K257"/>
    <mergeCell ref="L257:P257"/>
    <mergeCell ref="T257:Y257"/>
    <mergeCell ref="E254:K254"/>
    <mergeCell ref="L254:P254"/>
    <mergeCell ref="T254:Y254"/>
    <mergeCell ref="E255:K255"/>
    <mergeCell ref="L255:P255"/>
    <mergeCell ref="T255:Y255"/>
    <mergeCell ref="E252:K252"/>
    <mergeCell ref="L252:P252"/>
    <mergeCell ref="T252:Y252"/>
    <mergeCell ref="E253:K253"/>
    <mergeCell ref="L253:P253"/>
    <mergeCell ref="T253:Y253"/>
    <mergeCell ref="E250:K250"/>
    <mergeCell ref="L250:P250"/>
    <mergeCell ref="T250:Y250"/>
    <mergeCell ref="E251:K251"/>
    <mergeCell ref="L251:P251"/>
    <mergeCell ref="T251:Y251"/>
    <mergeCell ref="E248:K248"/>
    <mergeCell ref="L248:P248"/>
    <mergeCell ref="T248:Y248"/>
    <mergeCell ref="E249:K249"/>
    <mergeCell ref="L249:P249"/>
    <mergeCell ref="T249:Y249"/>
    <mergeCell ref="E246:K246"/>
    <mergeCell ref="L246:P246"/>
    <mergeCell ref="T246:Y246"/>
    <mergeCell ref="E247:K247"/>
    <mergeCell ref="L247:P247"/>
    <mergeCell ref="T247:Y247"/>
    <mergeCell ref="E244:K244"/>
    <mergeCell ref="L244:P244"/>
    <mergeCell ref="T244:Y244"/>
    <mergeCell ref="E245:K245"/>
    <mergeCell ref="L245:P245"/>
    <mergeCell ref="T245:Y245"/>
    <mergeCell ref="T240:Y241"/>
    <mergeCell ref="A242:Y242"/>
    <mergeCell ref="E243:K243"/>
    <mergeCell ref="L243:P243"/>
    <mergeCell ref="T243:Y243"/>
    <mergeCell ref="A240:A241"/>
    <mergeCell ref="B240:D240"/>
    <mergeCell ref="E240:K241"/>
    <mergeCell ref="L240:P241"/>
    <mergeCell ref="Q240:S240"/>
    <mergeCell ref="E236:K236"/>
    <mergeCell ref="L236:P236"/>
    <mergeCell ref="T236:Y236"/>
    <mergeCell ref="E237:K237"/>
    <mergeCell ref="L237:Y239"/>
    <mergeCell ref="E238:K238"/>
    <mergeCell ref="E239:K239"/>
    <mergeCell ref="E234:K234"/>
    <mergeCell ref="L234:P234"/>
    <mergeCell ref="T234:Y234"/>
    <mergeCell ref="E235:K235"/>
    <mergeCell ref="L235:P235"/>
    <mergeCell ref="T235:Y235"/>
    <mergeCell ref="E232:K232"/>
    <mergeCell ref="L232:P232"/>
    <mergeCell ref="T232:Y232"/>
    <mergeCell ref="E233:K233"/>
    <mergeCell ref="L233:P233"/>
    <mergeCell ref="T233:Y233"/>
    <mergeCell ref="E230:K230"/>
    <mergeCell ref="L230:P230"/>
    <mergeCell ref="T230:Y230"/>
    <mergeCell ref="E231:K231"/>
    <mergeCell ref="L231:P231"/>
    <mergeCell ref="T231:Y231"/>
    <mergeCell ref="E228:K228"/>
    <mergeCell ref="L228:P228"/>
    <mergeCell ref="T228:Y228"/>
    <mergeCell ref="E229:K229"/>
    <mergeCell ref="L229:P229"/>
    <mergeCell ref="T229:Y229"/>
    <mergeCell ref="E226:K226"/>
    <mergeCell ref="L226:P226"/>
    <mergeCell ref="T226:Y226"/>
    <mergeCell ref="E227:K227"/>
    <mergeCell ref="L227:P227"/>
    <mergeCell ref="T227:Y227"/>
    <mergeCell ref="E223:K223"/>
    <mergeCell ref="L223:P223"/>
    <mergeCell ref="T223:Y223"/>
    <mergeCell ref="A224:Y224"/>
    <mergeCell ref="E225:K225"/>
    <mergeCell ref="L225:P225"/>
    <mergeCell ref="T225:Y225"/>
    <mergeCell ref="E221:K221"/>
    <mergeCell ref="L221:P221"/>
    <mergeCell ref="T221:Y221"/>
    <mergeCell ref="E222:K222"/>
    <mergeCell ref="L222:P222"/>
    <mergeCell ref="T222:Y222"/>
    <mergeCell ref="T217:Y218"/>
    <mergeCell ref="A219:Y219"/>
    <mergeCell ref="E220:K220"/>
    <mergeCell ref="L220:P220"/>
    <mergeCell ref="T220:Y220"/>
    <mergeCell ref="A217:A218"/>
    <mergeCell ref="B217:D217"/>
    <mergeCell ref="E217:K218"/>
    <mergeCell ref="L217:P218"/>
    <mergeCell ref="Q217:S217"/>
    <mergeCell ref="C214:D214"/>
    <mergeCell ref="C215:D215"/>
    <mergeCell ref="A216:Y216"/>
    <mergeCell ref="C211:I211"/>
    <mergeCell ref="J211:M211"/>
    <mergeCell ref="A212:A213"/>
    <mergeCell ref="B212:B213"/>
    <mergeCell ref="C212:D213"/>
    <mergeCell ref="A206:I206"/>
    <mergeCell ref="J206:S206"/>
    <mergeCell ref="C207:I210"/>
    <mergeCell ref="J207:M207"/>
    <mergeCell ref="J208:M208"/>
    <mergeCell ref="J209:M209"/>
    <mergeCell ref="J210:M210"/>
    <mergeCell ref="A201:Y201"/>
    <mergeCell ref="J202:K202"/>
    <mergeCell ref="L202:Y202"/>
    <mergeCell ref="A204:A205"/>
    <mergeCell ref="B204:B205"/>
    <mergeCell ref="C204:I205"/>
    <mergeCell ref="J204:M205"/>
    <mergeCell ref="N204:N205"/>
    <mergeCell ref="A197:K197"/>
    <mergeCell ref="L197:O197"/>
    <mergeCell ref="S197:Y197"/>
    <mergeCell ref="A198:A200"/>
    <mergeCell ref="B198:I198"/>
    <mergeCell ref="J198:K200"/>
    <mergeCell ref="L198:Y200"/>
    <mergeCell ref="B199:C199"/>
    <mergeCell ref="D199:E199"/>
    <mergeCell ref="F199:G199"/>
    <mergeCell ref="H199:I199"/>
    <mergeCell ref="E195:K195"/>
    <mergeCell ref="L195:O195"/>
    <mergeCell ref="S195:Y195"/>
    <mergeCell ref="E196:K196"/>
    <mergeCell ref="L196:O196"/>
    <mergeCell ref="S196:Y196"/>
    <mergeCell ref="E193:K193"/>
    <mergeCell ref="L193:O193"/>
    <mergeCell ref="S193:Y193"/>
    <mergeCell ref="E194:K194"/>
    <mergeCell ref="L194:O194"/>
    <mergeCell ref="S194:Y194"/>
    <mergeCell ref="E191:K191"/>
    <mergeCell ref="L191:O191"/>
    <mergeCell ref="S191:Y191"/>
    <mergeCell ref="E192:K192"/>
    <mergeCell ref="L192:O192"/>
    <mergeCell ref="S192:Y192"/>
    <mergeCell ref="E189:K189"/>
    <mergeCell ref="L189:O189"/>
    <mergeCell ref="S189:Y189"/>
    <mergeCell ref="E190:K190"/>
    <mergeCell ref="L190:O190"/>
    <mergeCell ref="S190:Y190"/>
    <mergeCell ref="E187:K187"/>
    <mergeCell ref="L187:O187"/>
    <mergeCell ref="S187:Y187"/>
    <mergeCell ref="E188:K188"/>
    <mergeCell ref="L188:O188"/>
    <mergeCell ref="S188:Y188"/>
    <mergeCell ref="E185:K185"/>
    <mergeCell ref="L185:O185"/>
    <mergeCell ref="S185:Y185"/>
    <mergeCell ref="E186:K186"/>
    <mergeCell ref="L186:O186"/>
    <mergeCell ref="S186:Y186"/>
    <mergeCell ref="A183:K183"/>
    <mergeCell ref="L183:Y183"/>
    <mergeCell ref="E184:K184"/>
    <mergeCell ref="L184:O184"/>
    <mergeCell ref="S184:Y184"/>
    <mergeCell ref="E181:K181"/>
    <mergeCell ref="L181:O181"/>
    <mergeCell ref="S181:Y181"/>
    <mergeCell ref="A182:K182"/>
    <mergeCell ref="L182:O182"/>
    <mergeCell ref="S182:Y182"/>
    <mergeCell ref="E179:K179"/>
    <mergeCell ref="L179:O179"/>
    <mergeCell ref="S179:Y179"/>
    <mergeCell ref="E180:K180"/>
    <mergeCell ref="L180:O180"/>
    <mergeCell ref="S180:Y180"/>
    <mergeCell ref="P176:Q176"/>
    <mergeCell ref="R176:R177"/>
    <mergeCell ref="S176:Y177"/>
    <mergeCell ref="A178:K178"/>
    <mergeCell ref="L178:Y178"/>
    <mergeCell ref="A176:A177"/>
    <mergeCell ref="B176:C176"/>
    <mergeCell ref="D176:D177"/>
    <mergeCell ref="E176:K177"/>
    <mergeCell ref="L176:O177"/>
    <mergeCell ref="E174:K174"/>
    <mergeCell ref="L174:O174"/>
    <mergeCell ref="S174:Y174"/>
    <mergeCell ref="E175:K175"/>
    <mergeCell ref="L175:O175"/>
    <mergeCell ref="S175:Y175"/>
    <mergeCell ref="E172:K172"/>
    <mergeCell ref="L172:O172"/>
    <mergeCell ref="S172:Y172"/>
    <mergeCell ref="E173:K173"/>
    <mergeCell ref="L173:O173"/>
    <mergeCell ref="S173:Y173"/>
    <mergeCell ref="E170:K170"/>
    <mergeCell ref="L170:O170"/>
    <mergeCell ref="S170:Y170"/>
    <mergeCell ref="E171:K171"/>
    <mergeCell ref="L171:O171"/>
    <mergeCell ref="S171:Y171"/>
    <mergeCell ref="E168:K168"/>
    <mergeCell ref="L168:O168"/>
    <mergeCell ref="S168:Y168"/>
    <mergeCell ref="E169:K169"/>
    <mergeCell ref="L169:O169"/>
    <mergeCell ref="S169:Y169"/>
    <mergeCell ref="E166:K166"/>
    <mergeCell ref="L166:O166"/>
    <mergeCell ref="S166:Y166"/>
    <mergeCell ref="A167:K167"/>
    <mergeCell ref="L167:Y167"/>
    <mergeCell ref="E164:K164"/>
    <mergeCell ref="L164:O164"/>
    <mergeCell ref="S164:Y164"/>
    <mergeCell ref="E165:K165"/>
    <mergeCell ref="L165:O165"/>
    <mergeCell ref="S165:Y165"/>
    <mergeCell ref="E162:K162"/>
    <mergeCell ref="L162:O162"/>
    <mergeCell ref="S162:Y162"/>
    <mergeCell ref="E163:K163"/>
    <mergeCell ref="L163:O163"/>
    <mergeCell ref="S163:Y163"/>
    <mergeCell ref="A159:Y159"/>
    <mergeCell ref="E160:K160"/>
    <mergeCell ref="L160:O160"/>
    <mergeCell ref="S160:Y160"/>
    <mergeCell ref="E161:K161"/>
    <mergeCell ref="L161:O161"/>
    <mergeCell ref="S161:Y161"/>
    <mergeCell ref="A156:Y156"/>
    <mergeCell ref="A157:A158"/>
    <mergeCell ref="B157:C157"/>
    <mergeCell ref="D157:D158"/>
    <mergeCell ref="E157:K158"/>
    <mergeCell ref="L157:O158"/>
    <mergeCell ref="P157:Q157"/>
    <mergeCell ref="R157:R158"/>
    <mergeCell ref="S157:Y158"/>
    <mergeCell ref="F154:K154"/>
    <mergeCell ref="L154:O154"/>
    <mergeCell ref="T154:Y154"/>
    <mergeCell ref="F155:K155"/>
    <mergeCell ref="L155:O155"/>
    <mergeCell ref="T155:Y155"/>
    <mergeCell ref="P151:R151"/>
    <mergeCell ref="S151:S152"/>
    <mergeCell ref="T151:Y152"/>
    <mergeCell ref="F153:K153"/>
    <mergeCell ref="L153:O153"/>
    <mergeCell ref="T153:Y153"/>
    <mergeCell ref="A151:A152"/>
    <mergeCell ref="B151:D151"/>
    <mergeCell ref="E151:E152"/>
    <mergeCell ref="F151:K152"/>
    <mergeCell ref="L151:O152"/>
    <mergeCell ref="E149:K149"/>
    <mergeCell ref="L149:O149"/>
    <mergeCell ref="S149:Y149"/>
    <mergeCell ref="E150:K150"/>
    <mergeCell ref="L150:Y150"/>
    <mergeCell ref="E147:K147"/>
    <mergeCell ref="L147:O147"/>
    <mergeCell ref="S147:Y147"/>
    <mergeCell ref="E148:K148"/>
    <mergeCell ref="L148:O148"/>
    <mergeCell ref="S148:Y148"/>
    <mergeCell ref="E145:K145"/>
    <mergeCell ref="L145:O145"/>
    <mergeCell ref="S145:Y145"/>
    <mergeCell ref="E146:K146"/>
    <mergeCell ref="L146:O146"/>
    <mergeCell ref="S146:Y146"/>
    <mergeCell ref="E143:K143"/>
    <mergeCell ref="L143:O143"/>
    <mergeCell ref="S143:Y143"/>
    <mergeCell ref="E144:K144"/>
    <mergeCell ref="L144:O144"/>
    <mergeCell ref="S144:Y144"/>
    <mergeCell ref="E141:K141"/>
    <mergeCell ref="L141:O141"/>
    <mergeCell ref="S141:Y141"/>
    <mergeCell ref="E142:K142"/>
    <mergeCell ref="L142:O142"/>
    <mergeCell ref="S142:Y142"/>
    <mergeCell ref="E139:K139"/>
    <mergeCell ref="L139:O139"/>
    <mergeCell ref="S139:Y139"/>
    <mergeCell ref="E140:K140"/>
    <mergeCell ref="L140:O140"/>
    <mergeCell ref="S140:Y140"/>
    <mergeCell ref="E137:K137"/>
    <mergeCell ref="L137:O137"/>
    <mergeCell ref="S137:Y137"/>
    <mergeCell ref="E138:K138"/>
    <mergeCell ref="L138:O138"/>
    <mergeCell ref="S138:Y138"/>
    <mergeCell ref="A134:Y134"/>
    <mergeCell ref="E135:K135"/>
    <mergeCell ref="L135:O135"/>
    <mergeCell ref="S135:Y135"/>
    <mergeCell ref="E136:K136"/>
    <mergeCell ref="L136:O136"/>
    <mergeCell ref="S136:Y136"/>
    <mergeCell ref="E130:K130"/>
    <mergeCell ref="L130:Y130"/>
    <mergeCell ref="A131:Y131"/>
    <mergeCell ref="A132:A133"/>
    <mergeCell ref="B132:C132"/>
    <mergeCell ref="D132:D133"/>
    <mergeCell ref="E132:K133"/>
    <mergeCell ref="L132:O133"/>
    <mergeCell ref="P132:Q132"/>
    <mergeCell ref="R132:R133"/>
    <mergeCell ref="S132:Y133"/>
    <mergeCell ref="E128:K128"/>
    <mergeCell ref="L128:P128"/>
    <mergeCell ref="T128:Y128"/>
    <mergeCell ref="E129:K129"/>
    <mergeCell ref="L129:P129"/>
    <mergeCell ref="T129:Y129"/>
    <mergeCell ref="A125:Y125"/>
    <mergeCell ref="E126:K126"/>
    <mergeCell ref="L126:P126"/>
    <mergeCell ref="T126:Y126"/>
    <mergeCell ref="E127:K127"/>
    <mergeCell ref="L127:P127"/>
    <mergeCell ref="T127:Y127"/>
    <mergeCell ref="E122:K122"/>
    <mergeCell ref="L122:Y122"/>
    <mergeCell ref="A123:A124"/>
    <mergeCell ref="B123:D123"/>
    <mergeCell ref="E123:K124"/>
    <mergeCell ref="L123:P124"/>
    <mergeCell ref="Q123:S123"/>
    <mergeCell ref="T123:Y124"/>
    <mergeCell ref="E120:K120"/>
    <mergeCell ref="L120:P120"/>
    <mergeCell ref="T120:Y120"/>
    <mergeCell ref="E121:K121"/>
    <mergeCell ref="L121:P121"/>
    <mergeCell ref="T121:Y121"/>
    <mergeCell ref="E118:K118"/>
    <mergeCell ref="L118:P118"/>
    <mergeCell ref="T118:Y118"/>
    <mergeCell ref="E119:K119"/>
    <mergeCell ref="L119:P119"/>
    <mergeCell ref="T119:Y119"/>
    <mergeCell ref="T114:Y115"/>
    <mergeCell ref="E116:K116"/>
    <mergeCell ref="L116:P116"/>
    <mergeCell ref="T116:Y116"/>
    <mergeCell ref="E117:K117"/>
    <mergeCell ref="L117:P117"/>
    <mergeCell ref="T117:Y117"/>
    <mergeCell ref="A114:A115"/>
    <mergeCell ref="B114:D114"/>
    <mergeCell ref="E114:K115"/>
    <mergeCell ref="L114:P115"/>
    <mergeCell ref="Q114:S114"/>
    <mergeCell ref="E112:K112"/>
    <mergeCell ref="L112:P112"/>
    <mergeCell ref="T112:Y112"/>
    <mergeCell ref="E113:K113"/>
    <mergeCell ref="L113:P113"/>
    <mergeCell ref="T113:Y113"/>
    <mergeCell ref="A109:Y109"/>
    <mergeCell ref="E110:K110"/>
    <mergeCell ref="L110:P110"/>
    <mergeCell ref="T110:Y110"/>
    <mergeCell ref="E111:K111"/>
    <mergeCell ref="L111:P111"/>
    <mergeCell ref="T111:Y111"/>
    <mergeCell ref="E106:K106"/>
    <mergeCell ref="L106:P106"/>
    <mergeCell ref="T106:Y106"/>
    <mergeCell ref="A107:A108"/>
    <mergeCell ref="B107:D107"/>
    <mergeCell ref="E107:K108"/>
    <mergeCell ref="L107:P108"/>
    <mergeCell ref="Q107:S107"/>
    <mergeCell ref="T107:Y108"/>
    <mergeCell ref="A103:Y103"/>
    <mergeCell ref="E104:K104"/>
    <mergeCell ref="L104:P104"/>
    <mergeCell ref="T104:Y104"/>
    <mergeCell ref="E105:K105"/>
    <mergeCell ref="L105:P105"/>
    <mergeCell ref="T105:Y105"/>
    <mergeCell ref="E100:K100"/>
    <mergeCell ref="L100:P100"/>
    <mergeCell ref="T100:Y100"/>
    <mergeCell ref="A101:A102"/>
    <mergeCell ref="B101:D101"/>
    <mergeCell ref="E101:K102"/>
    <mergeCell ref="L101:P102"/>
    <mergeCell ref="Q101:S101"/>
    <mergeCell ref="T101:Y102"/>
    <mergeCell ref="E98:K98"/>
    <mergeCell ref="L98:P98"/>
    <mergeCell ref="T98:Y98"/>
    <mergeCell ref="E99:K99"/>
    <mergeCell ref="L99:P99"/>
    <mergeCell ref="T99:Y99"/>
    <mergeCell ref="E96:K96"/>
    <mergeCell ref="L96:P96"/>
    <mergeCell ref="T96:Y96"/>
    <mergeCell ref="E97:K97"/>
    <mergeCell ref="L97:P97"/>
    <mergeCell ref="T97:Y97"/>
    <mergeCell ref="A93:Y93"/>
    <mergeCell ref="E94:K94"/>
    <mergeCell ref="L94:P94"/>
    <mergeCell ref="T94:Y94"/>
    <mergeCell ref="E95:K95"/>
    <mergeCell ref="L95:P95"/>
    <mergeCell ref="T95:Y95"/>
    <mergeCell ref="E91:K91"/>
    <mergeCell ref="L91:P91"/>
    <mergeCell ref="T91:Y91"/>
    <mergeCell ref="E92:K92"/>
    <mergeCell ref="L92:P92"/>
    <mergeCell ref="T92:Y92"/>
    <mergeCell ref="E89:K89"/>
    <mergeCell ref="L89:P89"/>
    <mergeCell ref="T89:Y89"/>
    <mergeCell ref="E90:K90"/>
    <mergeCell ref="L90:P90"/>
    <mergeCell ref="T90:Y90"/>
    <mergeCell ref="E87:K87"/>
    <mergeCell ref="L87:P87"/>
    <mergeCell ref="T87:Y87"/>
    <mergeCell ref="E88:K88"/>
    <mergeCell ref="L88:P88"/>
    <mergeCell ref="T88:Y88"/>
    <mergeCell ref="T83:Y84"/>
    <mergeCell ref="A85:Y85"/>
    <mergeCell ref="E86:K86"/>
    <mergeCell ref="L86:P86"/>
    <mergeCell ref="T86:Y86"/>
    <mergeCell ref="A83:A84"/>
    <mergeCell ref="B83:D83"/>
    <mergeCell ref="E83:K84"/>
    <mergeCell ref="L83:P84"/>
    <mergeCell ref="Q83:S83"/>
    <mergeCell ref="E81:K81"/>
    <mergeCell ref="L81:P81"/>
    <mergeCell ref="T81:Y81"/>
    <mergeCell ref="E82:K82"/>
    <mergeCell ref="L82:Y82"/>
    <mergeCell ref="A78:Y78"/>
    <mergeCell ref="A79:Y79"/>
    <mergeCell ref="E80:K80"/>
    <mergeCell ref="L80:P80"/>
    <mergeCell ref="T80:Y80"/>
    <mergeCell ref="A75:Y75"/>
    <mergeCell ref="A76:A77"/>
    <mergeCell ref="B76:D76"/>
    <mergeCell ref="E76:K77"/>
    <mergeCell ref="L76:P77"/>
    <mergeCell ref="Q76:S76"/>
    <mergeCell ref="T76:Y77"/>
    <mergeCell ref="E69:F69"/>
    <mergeCell ref="G69:K69"/>
    <mergeCell ref="L69:Y74"/>
    <mergeCell ref="E70:F70"/>
    <mergeCell ref="G70:K70"/>
    <mergeCell ref="E71:F71"/>
    <mergeCell ref="G71:K71"/>
    <mergeCell ref="E72:F72"/>
    <mergeCell ref="G72:K72"/>
    <mergeCell ref="E73:F73"/>
    <mergeCell ref="G73:K73"/>
    <mergeCell ref="E74:F74"/>
    <mergeCell ref="G74:K74"/>
    <mergeCell ref="E68:F68"/>
    <mergeCell ref="G68:K68"/>
    <mergeCell ref="L68:P68"/>
    <mergeCell ref="T68:U68"/>
    <mergeCell ref="V68:Y68"/>
    <mergeCell ref="Q64:S64"/>
    <mergeCell ref="T64:U65"/>
    <mergeCell ref="V64:Y65"/>
    <mergeCell ref="A66:Y66"/>
    <mergeCell ref="E67:F67"/>
    <mergeCell ref="G67:K67"/>
    <mergeCell ref="L67:P67"/>
    <mergeCell ref="T67:U67"/>
    <mergeCell ref="V67:Y67"/>
    <mergeCell ref="A64:A65"/>
    <mergeCell ref="B64:D64"/>
    <mergeCell ref="E64:F65"/>
    <mergeCell ref="G64:K65"/>
    <mergeCell ref="L64:P65"/>
    <mergeCell ref="E63:F63"/>
    <mergeCell ref="G63:K63"/>
    <mergeCell ref="L63:P63"/>
    <mergeCell ref="T63:U63"/>
    <mergeCell ref="V63:Y63"/>
    <mergeCell ref="E62:F62"/>
    <mergeCell ref="G62:K62"/>
    <mergeCell ref="L62:P62"/>
    <mergeCell ref="T62:U62"/>
    <mergeCell ref="V62:Y62"/>
    <mergeCell ref="E61:F61"/>
    <mergeCell ref="G61:K61"/>
    <mergeCell ref="L61:P61"/>
    <mergeCell ref="T61:U61"/>
    <mergeCell ref="V61:Y61"/>
    <mergeCell ref="G59:K60"/>
    <mergeCell ref="L59:P59"/>
    <mergeCell ref="T59:U59"/>
    <mergeCell ref="V59:Y59"/>
    <mergeCell ref="L60:P60"/>
    <mergeCell ref="T60:U60"/>
    <mergeCell ref="V60:Y60"/>
    <mergeCell ref="A59:A60"/>
    <mergeCell ref="B59:B60"/>
    <mergeCell ref="C59:C60"/>
    <mergeCell ref="D59:D60"/>
    <mergeCell ref="E59:F60"/>
    <mergeCell ref="E58:F58"/>
    <mergeCell ref="G58:K58"/>
    <mergeCell ref="L58:P58"/>
    <mergeCell ref="T58:U58"/>
    <mergeCell ref="V58:Y58"/>
    <mergeCell ref="E57:F57"/>
    <mergeCell ref="G57:K57"/>
    <mergeCell ref="L57:P57"/>
    <mergeCell ref="T57:U57"/>
    <mergeCell ref="V57:Y57"/>
    <mergeCell ref="E56:F56"/>
    <mergeCell ref="G56:K56"/>
    <mergeCell ref="L56:P56"/>
    <mergeCell ref="T56:U56"/>
    <mergeCell ref="V56:Y56"/>
    <mergeCell ref="E55:F55"/>
    <mergeCell ref="G55:K55"/>
    <mergeCell ref="L55:P55"/>
    <mergeCell ref="T55:U55"/>
    <mergeCell ref="V55:Y55"/>
    <mergeCell ref="E51:F51"/>
    <mergeCell ref="G51:K51"/>
    <mergeCell ref="L51:Y51"/>
    <mergeCell ref="A53:Y53"/>
    <mergeCell ref="E54:F54"/>
    <mergeCell ref="G54:K54"/>
    <mergeCell ref="L54:P54"/>
    <mergeCell ref="T54:U54"/>
    <mergeCell ref="V54:Y54"/>
    <mergeCell ref="E49:F49"/>
    <mergeCell ref="G49:K49"/>
    <mergeCell ref="L49:P49"/>
    <mergeCell ref="T49:U49"/>
    <mergeCell ref="V49:Y49"/>
    <mergeCell ref="E48:F48"/>
    <mergeCell ref="G48:K48"/>
    <mergeCell ref="L48:P48"/>
    <mergeCell ref="T48:U48"/>
    <mergeCell ref="V48:Y48"/>
    <mergeCell ref="E47:F47"/>
    <mergeCell ref="G47:K47"/>
    <mergeCell ref="L47:P47"/>
    <mergeCell ref="T47:U47"/>
    <mergeCell ref="V47:Y47"/>
    <mergeCell ref="E46:F46"/>
    <mergeCell ref="G46:K46"/>
    <mergeCell ref="L46:P46"/>
    <mergeCell ref="T46:U46"/>
    <mergeCell ref="V46:Y46"/>
    <mergeCell ref="E45:F45"/>
    <mergeCell ref="G45:K45"/>
    <mergeCell ref="L45:P45"/>
    <mergeCell ref="T45:U45"/>
    <mergeCell ref="V45:Y45"/>
    <mergeCell ref="E44:F44"/>
    <mergeCell ref="G44:K44"/>
    <mergeCell ref="L44:P44"/>
    <mergeCell ref="T44:U44"/>
    <mergeCell ref="V44:Y44"/>
    <mergeCell ref="E43:F43"/>
    <mergeCell ref="G43:K43"/>
    <mergeCell ref="L43:P43"/>
    <mergeCell ref="T43:U43"/>
    <mergeCell ref="V43:Y43"/>
    <mergeCell ref="E42:F42"/>
    <mergeCell ref="G42:K42"/>
    <mergeCell ref="L42:P42"/>
    <mergeCell ref="T42:U42"/>
    <mergeCell ref="V42:Y42"/>
    <mergeCell ref="E41:F41"/>
    <mergeCell ref="G41:K41"/>
    <mergeCell ref="L41:P41"/>
    <mergeCell ref="T41:U41"/>
    <mergeCell ref="V41:Y41"/>
    <mergeCell ref="E40:F40"/>
    <mergeCell ref="G40:K40"/>
    <mergeCell ref="L40:P40"/>
    <mergeCell ref="T40:U40"/>
    <mergeCell ref="V40:Y40"/>
    <mergeCell ref="A38:Y38"/>
    <mergeCell ref="E39:F39"/>
    <mergeCell ref="G39:K39"/>
    <mergeCell ref="L39:P39"/>
    <mergeCell ref="T39:U39"/>
    <mergeCell ref="V39:Y39"/>
    <mergeCell ref="A35:Y35"/>
    <mergeCell ref="A36:A37"/>
    <mergeCell ref="B36:D36"/>
    <mergeCell ref="E36:F37"/>
    <mergeCell ref="G36:K37"/>
    <mergeCell ref="L36:P37"/>
    <mergeCell ref="Q36:S36"/>
    <mergeCell ref="T36:U37"/>
    <mergeCell ref="V36:Y37"/>
    <mergeCell ref="A12:A15"/>
    <mergeCell ref="B12:E13"/>
    <mergeCell ref="B14:D14"/>
    <mergeCell ref="E14:E15"/>
    <mergeCell ref="D1:F1"/>
    <mergeCell ref="D2:F2"/>
    <mergeCell ref="A1:A7"/>
    <mergeCell ref="A9:D10"/>
    <mergeCell ref="F12:M12"/>
    <mergeCell ref="U1:Y7"/>
    <mergeCell ref="D5:R5"/>
    <mergeCell ref="A8:Y8"/>
    <mergeCell ref="Q11:T11"/>
    <mergeCell ref="U11:Y11"/>
    <mergeCell ref="E9:P9"/>
    <mergeCell ref="Q9:T10"/>
    <mergeCell ref="U9:Y10"/>
    <mergeCell ref="E10:H10"/>
    <mergeCell ref="I10:L10"/>
    <mergeCell ref="M10:P10"/>
    <mergeCell ref="E11:H11"/>
    <mergeCell ref="I11:L11"/>
    <mergeCell ref="M11:P11"/>
    <mergeCell ref="D6:F6"/>
    <mergeCell ref="A11:D11"/>
    <mergeCell ref="N12:Q13"/>
    <mergeCell ref="R12:U13"/>
    <mergeCell ref="V12:Y13"/>
    <mergeCell ref="J13:M13"/>
    <mergeCell ref="F13:I13"/>
    <mergeCell ref="Y14:Y15"/>
    <mergeCell ref="F14:H14"/>
    <mergeCell ref="I14:I15"/>
    <mergeCell ref="J14:L14"/>
    <mergeCell ref="M14:M15"/>
    <mergeCell ref="N14:P14"/>
    <mergeCell ref="Q14:Q15"/>
    <mergeCell ref="R14:T14"/>
    <mergeCell ref="U14:U15"/>
    <mergeCell ref="V14:X14"/>
  </mergeCells>
  <printOptions gridLines="false" gridLinesSet="true"/>
  <pageMargins left="0.25" right="0.25" top="0.75" bottom="0.75" header="0.3" footer="0.3"/>
  <pageSetup paperSize="5" orientation="landscape" scale="88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M2_Morbidity</vt:lpstr>
      <vt:lpstr>M2_Morbidity_v2 (31225)</vt:lpstr>
      <vt:lpstr>section_all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 LANTAPAN</dc:creator>
  <cp:lastModifiedBy>neilianaller</cp:lastModifiedBy>
  <dcterms:created xsi:type="dcterms:W3CDTF">2025-07-02T13:09:46+08:00</dcterms:created>
  <dcterms:modified xsi:type="dcterms:W3CDTF">2025-11-09T23:17:56+08:00</dcterms:modified>
  <dc:title/>
  <dc:description/>
  <dc:subject/>
  <cp:keywords/>
  <cp:category/>
</cp:coreProperties>
</file>