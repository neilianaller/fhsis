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B83C1614-4250-4441-9E5C-1000AA075F07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_b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2" i="44" l="1"/>
  <c r="D32" i="44"/>
  <c r="B32" i="44"/>
  <c r="E47" i="44" l="1"/>
  <c r="E46" i="44"/>
  <c r="E45" i="44"/>
  <c r="D44" i="44"/>
  <c r="C44" i="44"/>
  <c r="B44" i="44"/>
  <c r="E43" i="44"/>
  <c r="E42" i="44"/>
  <c r="T41" i="44"/>
  <c r="D41" i="44"/>
  <c r="C41" i="44"/>
  <c r="B41" i="44"/>
  <c r="T40" i="44"/>
  <c r="E40" i="44"/>
  <c r="T36" i="44"/>
  <c r="E36" i="44"/>
  <c r="T35" i="44"/>
  <c r="E35" i="44"/>
  <c r="T34" i="44"/>
  <c r="E34" i="44"/>
  <c r="T33" i="44"/>
  <c r="T32" i="44"/>
  <c r="E32" i="44"/>
  <c r="T31" i="44"/>
  <c r="E31" i="44"/>
  <c r="T30" i="44"/>
  <c r="E30" i="44"/>
  <c r="T29" i="44"/>
  <c r="E29" i="44"/>
  <c r="T28" i="44"/>
  <c r="D28" i="44"/>
  <c r="C28" i="44"/>
  <c r="B28" i="44"/>
  <c r="S27" i="44"/>
  <c r="R27" i="44"/>
  <c r="Q27" i="44"/>
  <c r="E27" i="44"/>
  <c r="E24" i="44"/>
  <c r="T22" i="44"/>
  <c r="E22" i="44"/>
  <c r="T21" i="44"/>
  <c r="E21" i="44"/>
  <c r="T20" i="44"/>
  <c r="E20" i="44"/>
  <c r="T19" i="44"/>
  <c r="E19" i="44"/>
  <c r="T18" i="44"/>
  <c r="E18" i="44"/>
  <c r="T17" i="44"/>
  <c r="E17" i="44"/>
  <c r="T16" i="44"/>
  <c r="D16" i="44"/>
  <c r="C16" i="44"/>
  <c r="B16" i="44"/>
  <c r="T15" i="44"/>
  <c r="E15" i="44"/>
  <c r="T14" i="44"/>
  <c r="E14" i="44"/>
  <c r="T13" i="44"/>
  <c r="D13" i="44"/>
  <c r="C13" i="44"/>
  <c r="B13" i="44"/>
  <c r="T12" i="44"/>
  <c r="E12" i="44"/>
  <c r="E44" i="44" l="1"/>
  <c r="E16" i="44"/>
  <c r="E28" i="44"/>
  <c r="E13" i="44"/>
  <c r="T27" i="44"/>
  <c r="E41" i="44"/>
</calcChain>
</file>

<file path=xl/sharedStrings.xml><?xml version="1.0" encoding="utf-8"?>
<sst xmlns="http://schemas.openxmlformats.org/spreadsheetml/2006/main" count="1528" uniqueCount="798">
  <si>
    <t>TOTAL</t>
  </si>
  <si>
    <t>10-14</t>
  </si>
  <si>
    <t>15-19</t>
  </si>
  <si>
    <t>20-49</t>
  </si>
  <si>
    <t>PRENATAL CARE SERVICES</t>
  </si>
  <si>
    <t>INTRAPARTUM AND NEWBORN CARE</t>
  </si>
  <si>
    <t>POSTPARTUM CARE</t>
  </si>
  <si>
    <t>Indicators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</si>
  <si>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</si>
  <si>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</si>
  <si>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</si>
  <si>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</si>
  <si>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</si>
  <si>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</si>
  <si>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</si>
  <si>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</si>
  <si>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</si>
  <si>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</si>
  <si>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</si>
  <si>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</si>
  <si>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</si>
  <si>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</si>
  <si>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</si>
  <si>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</si>
  <si>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</si>
  <si>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</si>
  <si>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</si>
  <si>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</si>
  <si>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</si>
  <si>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</si>
  <si>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</si>
  <si>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</si>
  <si>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</si>
  <si>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</si>
  <si>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</si>
  <si>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</si>
  <si>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</si>
  <si>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</si>
  <si>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</si>
  <si>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</si>
  <si>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</si>
  <si>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</si>
  <si>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</si>
  <si>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</si>
  <si>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</si>
  <si>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</si>
  <si>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</si>
  <si>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</si>
  <si>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</si>
  <si>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</si>
  <si>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</si>
  <si>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</si>
  <si>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</si>
  <si>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</si>
  <si>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</si>
  <si>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</si>
  <si>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</si>
  <si>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</si>
  <si>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</si>
  <si>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</si>
  <si>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</si>
  <si>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</si>
  <si>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</si>
  <si>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</si>
  <si>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</si>
  <si>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</si>
  <si>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</si>
  <si>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</si>
  <si>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</si>
  <si>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</si>
  <si>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</si>
  <si>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</si>
  <si>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</si>
  <si>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</si>
  <si>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</si>
  <si>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</si>
  <si>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</si>
  <si>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</si>
  <si>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</si>
  <si>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</si>
  <si>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</si>
  <si>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</si>
  <si>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</si>
  <si>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</si>
  <si>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</si>
  <si>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</si>
  <si>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</si>
  <si>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</si>
  <si>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</si>
  <si>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</si>
  <si>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</si>
  <si>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</si>
  <si>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</si>
  <si>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</si>
  <si>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</si>
  <si>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</si>
  <si>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</si>
  <si>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</si>
  <si>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</si>
  <si>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</si>
  <si>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</si>
  <si>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</si>
  <si>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</si>
  <si>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</si>
  <si>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</si>
  <si>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</si>
  <si>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</si>
  <si>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</si>
  <si>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</si>
  <si>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</si>
  <si>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</si>
  <si>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</si>
  <si>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</si>
  <si>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</si>
  <si>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</si>
  <si>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</si>
  <si>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</si>
  <si>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</si>
  <si>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</si>
  <si>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</si>
  <si>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</si>
  <si>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</si>
  <si>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</si>
  <si>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</si>
  <si>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</si>
  <si>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</si>
  <si>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</si>
  <si>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</si>
  <si>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</si>
  <si>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</si>
  <si>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</si>
  <si>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</si>
  <si>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</si>
  <si>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</si>
  <si>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</si>
  <si>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</si>
  <si>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</si>
  <si>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</si>
  <si>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</si>
  <si>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</si>
  <si>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</si>
  <si>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</si>
  <si>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</si>
  <si>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</si>
  <si>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</si>
  <si>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</si>
  <si>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</si>
  <si>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</si>
  <si>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</si>
  <si>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</si>
  <si>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</si>
  <si>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</si>
  <si>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</si>
  <si>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</si>
  <si>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</si>
  <si>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</si>
  <si>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</si>
  <si>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</si>
  <si>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</si>
  <si>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</si>
  <si>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</si>
  <si>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</si>
  <si>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</si>
  <si>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</si>
  <si>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</si>
  <si>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</si>
  <si>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</si>
  <si>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</si>
  <si>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</si>
  <si>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</si>
  <si>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</si>
  <si>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</si>
  <si>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</si>
  <si>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</si>
  <si>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</si>
  <si>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</si>
  <si>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</si>
  <si>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</si>
  <si>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</si>
  <si>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</si>
  <si>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</si>
  <si>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</si>
  <si>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</si>
  <si>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</si>
  <si>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</si>
  <si>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</si>
  <si>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</si>
  <si>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</si>
  <si>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</si>
  <si>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</si>
  <si>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</si>
  <si>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</si>
  <si>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</si>
  <si>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</si>
  <si>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</si>
  <si>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</si>
  <si>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</si>
  <si>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</si>
  <si>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</si>
  <si>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</si>
  <si>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</si>
  <si>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</si>
  <si>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</si>
  <si>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</si>
  <si>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</si>
  <si>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</si>
  <si>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</si>
  <si>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</si>
  <si>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</si>
  <si>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</si>
  <si>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</si>
  <si>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</si>
  <si>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</si>
  <si>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</si>
  <si>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</si>
  <si>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</si>
  <si>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</si>
  <si>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</si>
  <si>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</si>
  <si>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</si>
  <si>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</si>
  <si>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</si>
  <si>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</si>
  <si>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</si>
  <si>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</si>
  <si>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</si>
  <si>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</si>
  <si>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</si>
  <si>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</si>
  <si>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</si>
  <si>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</si>
  <si>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</si>
  <si>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</si>
  <si>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</si>
  <si>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</si>
  <si>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</si>
  <si>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</si>
  <si>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</si>
  <si>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</si>
  <si>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</si>
  <si>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</si>
  <si>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</si>
  <si>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</si>
  <si>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</si>
  <si>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</si>
  <si>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</si>
  <si>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</si>
  <si>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</si>
  <si>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</si>
  <si>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</si>
  <si>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</si>
  <si>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</si>
  <si>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</si>
  <si>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</si>
  <si>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</si>
  <si>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</si>
  <si>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</si>
  <si>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</si>
  <si>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</si>
  <si>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</si>
  <si>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</si>
  <si>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</si>
  <si>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</si>
  <si>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</si>
  <si>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</si>
  <si>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</si>
  <si>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</si>
  <si>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</si>
  <si>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</si>
  <si>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</si>
  <si>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</si>
  <si>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</si>
  <si>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</si>
  <si>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</si>
  <si>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</si>
  <si>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</si>
  <si>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</si>
  <si>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</si>
  <si>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</si>
  <si>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</si>
  <si>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</si>
  <si>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</si>
  <si>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</si>
  <si>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</si>
  <si>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</si>
  <si>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</si>
  <si>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</si>
  <si>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</si>
  <si>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</si>
  <si>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</si>
  <si>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</si>
  <si>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</si>
  <si>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</si>
  <si>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</si>
  <si>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</si>
  <si>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</si>
  <si>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</si>
  <si>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</si>
  <si>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</si>
  <si>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</si>
  <si>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</si>
  <si>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</si>
  <si>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</si>
  <si>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</si>
  <si>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</si>
  <si>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</si>
  <si>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</si>
  <si>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</si>
  <si>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</si>
  <si>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</si>
  <si>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</si>
  <si>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</si>
  <si>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</si>
  <si>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</si>
  <si>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</si>
  <si>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</si>
  <si>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</si>
  <si>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</si>
  <si>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</si>
  <si>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</si>
  <si>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</si>
  <si>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</si>
  <si>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</si>
  <si>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</si>
  <si>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</si>
  <si>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</si>
  <si>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</si>
  <si>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</si>
  <si>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</si>
  <si>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</si>
  <si>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</si>
  <si>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</si>
  <si>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</si>
  <si>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</si>
  <si>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</si>
  <si>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</si>
  <si>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</si>
  <si>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</si>
  <si>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</si>
  <si>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</si>
  <si>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</si>
  <si>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</si>
  <si>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</si>
  <si>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</si>
  <si>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</si>
  <si>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</si>
  <si>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</si>
  <si>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</si>
  <si>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</si>
  <si>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</si>
  <si>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</si>
  <si>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</si>
  <si>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</si>
  <si>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</si>
  <si>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</si>
  <si>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</si>
  <si>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</si>
  <si>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</si>
  <si>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</si>
  <si>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</si>
  <si>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</si>
  <si>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</si>
  <si>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</si>
  <si>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</si>
  <si>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</si>
  <si>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</si>
  <si>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</si>
  <si>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</si>
  <si>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</si>
  <si>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</si>
  <si>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</si>
  <si>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</si>
  <si>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</si>
  <si>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</si>
  <si>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</si>
  <si>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</si>
  <si>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</si>
  <si>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</si>
  <si>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</si>
  <si>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</si>
  <si>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</si>
  <si>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</si>
  <si>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</si>
  <si>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</si>
  <si>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</si>
  <si>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</si>
  <si>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</si>
  <si>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</si>
  <si>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</si>
  <si>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</si>
  <si>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</si>
  <si>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</si>
  <si>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</si>
  <si>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</si>
  <si>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</si>
  <si>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</si>
  <si>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</si>
  <si>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</si>
  <si>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</si>
  <si>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</si>
  <si>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</si>
  <si>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</si>
  <si>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</si>
  <si>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</si>
  <si>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</si>
  <si>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</si>
  <si>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</si>
  <si>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</si>
  <si>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</si>
  <si>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</si>
  <si>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</si>
  <si>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</si>
  <si>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</si>
  <si>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</si>
  <si>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</si>
  <si>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</si>
  <si>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</si>
  <si>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</si>
  <si>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</si>
  <si>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</si>
  <si>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</si>
  <si>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</si>
  <si>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</si>
  <si>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</si>
  <si>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</si>
  <si>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</si>
  <si>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</si>
  <si>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</si>
  <si>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</si>
  <si>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</si>
  <si>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</si>
  <si>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</si>
  <si>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</si>
  <si>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</si>
  <si>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</si>
  <si>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</si>
  <si>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</si>
  <si>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</si>
  <si>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</si>
  <si>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</si>
  <si>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</si>
  <si>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</si>
  <si>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</si>
  <si>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</si>
  <si>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</si>
  <si>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</si>
  <si>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</si>
  <si>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</si>
  <si>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</si>
  <si>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</si>
  <si>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</si>
  <si>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</si>
  <si>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</si>
  <si>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</si>
  <si>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</si>
  <si>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</si>
  <si>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</si>
  <si>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</si>
  <si>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</si>
  <si>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</si>
  <si>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</si>
  <si>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</si>
  <si>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</si>
  <si>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</si>
  <si>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</si>
  <si>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</si>
  <si>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</si>
  <si>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</si>
  <si>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</si>
  <si>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</si>
  <si>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</si>
  <si>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</si>
  <si>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</si>
  <si>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</si>
  <si>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</si>
  <si>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</si>
  <si>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</si>
  <si>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</si>
  <si>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</si>
  <si>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</si>
  <si>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</si>
  <si>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</si>
  <si>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</si>
  <si>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</si>
  <si>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</si>
  <si>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</si>
  <si>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</si>
  <si>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</si>
  <si>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</si>
  <si>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</si>
  <si>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</si>
  <si>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</si>
  <si>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</si>
  <si>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</si>
  <si>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</si>
  <si>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</si>
  <si>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</si>
  <si>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</si>
  <si>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</si>
  <si>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</si>
  <si>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</si>
  <si>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</si>
  <si>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</si>
  <si>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</si>
  <si>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</si>
  <si>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</si>
  <si>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</si>
  <si>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</si>
  <si>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</si>
  <si>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</si>
  <si>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</si>
  <si>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</si>
  <si>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</si>
  <si>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</si>
  <si>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</si>
  <si>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</si>
  <si>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</si>
  <si>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</si>
  <si>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</si>
  <si>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</si>
  <si>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</si>
  <si>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</si>
  <si>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</si>
  <si>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</si>
  <si>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</si>
  <si>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</si>
  <si>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</si>
  <si>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</si>
  <si>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</si>
  <si>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</si>
  <si>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</si>
  <si>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</si>
  <si>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</si>
  <si>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</si>
  <si>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</si>
  <si>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</si>
  <si>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</si>
  <si>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</si>
  <si>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</si>
  <si>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</si>
  <si>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</si>
  <si>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</si>
  <si>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</si>
  <si>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</si>
  <si>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</si>
  <si>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</si>
  <si>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</si>
  <si>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</si>
  <si>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</si>
  <si>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</si>
  <si>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</si>
  <si>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</si>
  <si>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</si>
  <si>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</si>
  <si>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</si>
  <si>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</si>
  <si>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</si>
  <si>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</si>
  <si>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</si>
  <si>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</si>
  <si>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</si>
  <si>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</si>
  <si>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</si>
  <si>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</si>
  <si>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</si>
  <si>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</si>
  <si>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</si>
  <si>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</si>
  <si>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</si>
  <si>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</si>
  <si>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</si>
  <si>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</si>
  <si>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</si>
  <si>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</si>
  <si>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</si>
  <si>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</si>
  <si>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</si>
  <si>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</si>
  <si>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</si>
  <si>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</si>
  <si>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</si>
  <si>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</si>
  <si>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</si>
  <si>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</si>
  <si>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</si>
  <si>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</si>
  <si>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</si>
  <si>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</si>
  <si>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</si>
  <si>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</si>
  <si>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</si>
  <si>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</si>
  <si>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</si>
  <si>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</si>
  <si>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</si>
  <si>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</si>
  <si>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</si>
  <si>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</si>
  <si>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</si>
  <si>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</si>
  <si>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</si>
  <si>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</si>
  <si>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</si>
  <si>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</si>
  <si>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</si>
  <si>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</si>
  <si>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</si>
  <si>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</si>
  <si>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</si>
  <si>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</si>
  <si>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</si>
  <si>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</si>
  <si>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</si>
  <si>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</si>
  <si>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</si>
  <si>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</si>
  <si>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</si>
  <si>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</si>
  <si>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</si>
  <si>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</si>
  <si>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</si>
  <si>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</si>
  <si>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</si>
  <si>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</si>
  <si>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</si>
  <si>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</si>
  <si>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</si>
  <si>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</si>
  <si>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</si>
  <si>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</si>
  <si>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</si>
  <si>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</si>
  <si>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</si>
  <si>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</si>
  <si>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</si>
  <si>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</si>
  <si>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</si>
  <si>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</si>
  <si>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</si>
  <si>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</si>
  <si>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</si>
  <si>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</si>
  <si>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</si>
  <si>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</si>
  <si>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</si>
  <si>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</si>
  <si>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</si>
  <si>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</si>
  <si>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</si>
  <si>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</si>
  <si>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</si>
  <si>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</si>
  <si>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</si>
  <si>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</si>
  <si>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</si>
  <si>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</si>
  <si>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</si>
  <si>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</si>
  <si>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</si>
  <si>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</si>
  <si>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</si>
  <si>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</si>
  <si>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</si>
  <si>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</si>
  <si>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</si>
  <si>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</si>
  <si>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</si>
  <si>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</si>
  <si>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</si>
  <si>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</si>
  <si>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</si>
  <si>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</si>
  <si>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</si>
  <si>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</si>
  <si>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</si>
  <si>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</si>
  <si>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</si>
  <si>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</si>
  <si>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</si>
  <si>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</si>
  <si>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</si>
  <si>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</si>
  <si>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</si>
  <si>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</si>
  <si>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</si>
  <si>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</si>
  <si>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</si>
  <si>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</si>
  <si>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</si>
  <si>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</si>
  <si>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</si>
  <si>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</si>
  <si>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</si>
  <si>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</si>
  <si>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</si>
  <si>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</si>
  <si>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</si>
  <si>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</si>
  <si>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</si>
  <si>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</si>
  <si>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</si>
  <si>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</si>
  <si>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</si>
  <si>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</si>
  <si>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</si>
  <si>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</si>
  <si>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</si>
  <si>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</si>
  <si>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</si>
  <si>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</si>
  <si>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</si>
  <si>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</si>
  <si>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</si>
  <si>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</si>
  <si>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</si>
  <si>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</si>
  <si>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</si>
  <si>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</si>
  <si>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</si>
  <si>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</si>
  <si>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</si>
  <si>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</si>
  <si>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</si>
  <si>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</si>
  <si>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</si>
  <si>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</si>
  <si>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</si>
  <si>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</si>
  <si>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</si>
  <si>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</si>
  <si>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</si>
  <si>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</si>
  <si>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</si>
  <si>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</si>
  <si>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Age Group</t>
  </si>
  <si>
    <t>SECTION B. MATERNAL CARE AND SERVICES</t>
  </si>
  <si>
    <t>1a. Women who gave birth with at least 4 prenatal check-ups (for Q1 to Q3 2025 only)</t>
  </si>
  <si>
    <t>3b. Number of Pregnant Women for the 2nd or more times given at least 3 doses of Td vaccination (Td2 Plus)</t>
  </si>
  <si>
    <t>4. Number of pregnant women who completed the dose of iron with folic acid supplementation</t>
  </si>
  <si>
    <t>a. No. of Women who delivered and Provided 1st to 8th ANC on schedule</t>
  </si>
  <si>
    <t>5. No. of pregnant women who completed the dose Multiple Micronutrient Supplementation</t>
  </si>
  <si>
    <t>b. No. of Women who delivered and completed at least 8ANC
TRANS IN from other LGUs</t>
  </si>
  <si>
    <t>6. No. of high-risk pregnant women who completed the dose of calcium carbonate</t>
  </si>
  <si>
    <t>7. No. of pregnant women given one dose of deworming tablet</t>
  </si>
  <si>
    <t>a. No. of Women who delivered and who were tracked during pregnancy</t>
  </si>
  <si>
    <t>8a. No of pregnant women screened for Hepatitis B</t>
  </si>
  <si>
    <t>8b. No of pregnant women screened reactive for Hepatitis B</t>
  </si>
  <si>
    <t>2a. Number of pregnant women seen in the first trimester who have normal BMI</t>
  </si>
  <si>
    <t>9b. No of pregnant women diagnosed with Anemia</t>
  </si>
  <si>
    <t>2b. Number of pregnant women seen in the first trimester who have Low BMI</t>
  </si>
  <si>
    <t>10a. No of pregnant women screened for Gestational Diabetes Melitus</t>
  </si>
  <si>
    <t>2c. Number of pregnant women seen in the first trimester who have High BMI</t>
  </si>
  <si>
    <t>10b. No of pregnant women tested positive for Gestational Diabetes Melitus</t>
  </si>
  <si>
    <t>3a. Number of women pregnant for the first time given at least 2 doses of Tetanus diphtheria (Td) vaccination</t>
  </si>
  <si>
    <t>1. Total Deliveries</t>
  </si>
  <si>
    <t>4. No. of facility based deliveries (FBD)</t>
  </si>
  <si>
    <t>2. No. of Livebirths</t>
  </si>
  <si>
    <t>a. Public facility</t>
  </si>
  <si>
    <t>a. Normal birth weight</t>
  </si>
  <si>
    <t>b. Private facility</t>
  </si>
  <si>
    <t>b. Low birth weight</t>
  </si>
  <si>
    <t>5a. No. of  Vaginal deliveires</t>
  </si>
  <si>
    <t>c. Unknown birth weight</t>
  </si>
  <si>
    <t>5b.  No. of Cesarean section</t>
  </si>
  <si>
    <t>3. No. of deliveries attended by skilled health professionals</t>
  </si>
  <si>
    <t>5c.  No. of Combined Vaginal-Cesarean Delivery</t>
  </si>
  <si>
    <t>6a. No. of Full-Term deliveries</t>
  </si>
  <si>
    <t>a. Physicians</t>
  </si>
  <si>
    <t>6b. No. of Pre-Term Deliveries</t>
  </si>
  <si>
    <t>b. Nurses</t>
  </si>
  <si>
    <t>6c. No. of Fetal deaths</t>
  </si>
  <si>
    <t>c. Midwives</t>
  </si>
  <si>
    <t>6d. No. of  abortion/miscarriage</t>
  </si>
  <si>
    <t>1a. Number and proportion of Postpartum women together with their newborn who completed at least 2PNC (for Q1 Jan to Feb 2025 only)</t>
  </si>
  <si>
    <t>2. Number of postpartum women who completed the dose of iron with folic acid supplementation</t>
  </si>
  <si>
    <t>3. Number of postpartum women who completed the dose ofVitamin A supplementation</t>
  </si>
  <si>
    <t>a. No. of women who delivered and Provided 1st to 4th PNC on schedule</t>
  </si>
  <si>
    <t>b. No. of women who delivered and completed at least 4PNC
TRANS IN from other LGUs</t>
  </si>
  <si>
    <t>a. No. of women who delivered and who were tracked during pregnancy (New)</t>
  </si>
  <si>
    <r>
      <t xml:space="preserve">1b. Total No. of Women who delivered and completed at least 8ANC </t>
    </r>
    <r>
      <rPr>
        <b/>
        <sz val="9"/>
        <color theme="1"/>
        <rFont val="Arial"/>
        <family val="2"/>
      </rPr>
      <t>=(a+b)</t>
    </r>
  </si>
  <si>
    <r>
      <t>1c. Total No. of Women who delivered and were tracked during pregnancy</t>
    </r>
    <r>
      <rPr>
        <b/>
        <sz val="9"/>
        <color theme="1"/>
        <rFont val="Arial"/>
        <family val="2"/>
      </rPr>
      <t xml:space="preserve"> =(a+b)-c</t>
    </r>
  </si>
  <si>
    <r>
      <t xml:space="preserve">b. No. of </t>
    </r>
    <r>
      <rPr>
        <b/>
        <sz val="9"/>
        <color theme="1"/>
        <rFont val="Arial"/>
        <family val="2"/>
      </rPr>
      <t xml:space="preserve">TRANS IN </t>
    </r>
    <r>
      <rPr>
        <sz val="9"/>
        <color theme="1"/>
        <rFont val="Arial"/>
        <family val="2"/>
      </rPr>
      <t>from other LGUs</t>
    </r>
  </si>
  <si>
    <r>
      <t xml:space="preserve">c. No. of </t>
    </r>
    <r>
      <rPr>
        <b/>
        <sz val="9"/>
        <color theme="1"/>
        <rFont val="Arial"/>
        <family val="2"/>
      </rPr>
      <t>TRANS OUT</t>
    </r>
    <r>
      <rPr>
        <sz val="9"/>
        <color theme="1"/>
        <rFont val="Arial"/>
        <family val="2"/>
      </rPr>
      <t xml:space="preserve"> (with MOV) before completing 8ANC</t>
    </r>
  </si>
  <si>
    <r>
      <t xml:space="preserve">1b. Total No. of women who delivered and completed at least 4PNC </t>
    </r>
    <r>
      <rPr>
        <b/>
        <sz val="9"/>
        <color theme="1"/>
        <rFont val="Arial"/>
        <family val="2"/>
      </rPr>
      <t>=(a+b)</t>
    </r>
  </si>
  <si>
    <r>
      <t>1c. Total No. of women who delivered and who were tracked during pregnancy</t>
    </r>
    <r>
      <rPr>
        <b/>
        <sz val="9"/>
        <color theme="1"/>
        <rFont val="Arial"/>
        <family val="2"/>
      </rPr>
      <t xml:space="preserve"> =(a+b)-c</t>
    </r>
  </si>
  <si>
    <r>
      <t xml:space="preserve">c. No. of </t>
    </r>
    <r>
      <rPr>
        <b/>
        <sz val="9"/>
        <color theme="1"/>
        <rFont val="Arial"/>
        <family val="2"/>
      </rPr>
      <t>TRANS OUT</t>
    </r>
    <r>
      <rPr>
        <sz val="9"/>
        <color theme="1"/>
        <rFont val="Arial"/>
        <family val="2"/>
      </rPr>
      <t xml:space="preserve"> (with MOV) before completing 4PNC</t>
    </r>
  </si>
  <si>
    <t>8b. No of pregnant women screened for anemia</t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</si>
  <si>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</si>
  <si>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</si>
  <si>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</si>
  <si>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</si>
  <si>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</si>
  <si>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2d. Total Pregnant Registered in the month</t>
  </si>
  <si>
    <t>RHU</t>
  </si>
  <si>
    <t>FHSIS REPORT for the</t>
  </si>
  <si>
    <t>Quarter of the Year</t>
  </si>
  <si>
    <t>Name of Province: LANTAPAN</t>
  </si>
  <si>
    <t>Name of Province: BUKIDNON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</si>
</sst>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10" fillId="5" borderId="7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 wrapText="1"/>
    </xf>
    <xf numFmtId="0" fontId="10" fillId="5" borderId="7" xfId="0" applyFont="1" applyFill="1" applyBorder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0" fontId="7" fillId="3" borderId="7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vertical="center" wrapText="1"/>
    </xf>
    <xf numFmtId="0" fontId="8" fillId="5" borderId="7" xfId="0" applyFont="1" applyFill="1" applyBorder="1" applyAlignment="1">
      <alignment vertical="center" wrapText="1"/>
    </xf>
    <xf numFmtId="0" fontId="10" fillId="5" borderId="7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23" xfId="0" applyFont="1" applyFill="1" applyBorder="1" applyAlignment="1">
      <alignment horizontal="center" vertical="center" wrapText="1"/>
    </xf>
    <xf numFmtId="0" fontId="17" fillId="3" borderId="7" xfId="0" applyFont="1" applyFill="1" applyBorder="1" applyAlignment="1">
      <alignment horizontal="left" vertical="center" wrapText="1"/>
    </xf>
    <xf numFmtId="0" fontId="23" fillId="3" borderId="7" xfId="0" applyFont="1" applyFill="1" applyBorder="1" applyAlignment="1">
      <alignment horizontal="left" vertical="center" wrapText="1"/>
    </xf>
    <xf numFmtId="0" fontId="16" fillId="5" borderId="7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left" vertical="center" wrapText="1"/>
    </xf>
    <xf numFmtId="0" fontId="16" fillId="5" borderId="7" xfId="0" applyFont="1" applyFill="1" applyBorder="1" applyAlignment="1">
      <alignment horizontal="left" vertical="center" wrapText="1"/>
    </xf>
    <xf numFmtId="0" fontId="16" fillId="0" borderId="7" xfId="0" applyFont="1" applyBorder="1" applyAlignment="1">
      <alignment horizontal="center" vertical="center"/>
    </xf>
    <xf numFmtId="0" fontId="23" fillId="3" borderId="3" xfId="0" applyFont="1" applyFill="1" applyBorder="1" applyAlignment="1">
      <alignment horizontal="left" vertical="center" wrapText="1"/>
    </xf>
    <xf numFmtId="0" fontId="17" fillId="3" borderId="7" xfId="0" applyFont="1" applyFill="1" applyBorder="1" applyAlignment="1">
      <alignment vertical="center" wrapText="1"/>
    </xf>
    <xf numFmtId="0" fontId="23" fillId="3" borderId="7" xfId="0" applyFont="1" applyFill="1" applyBorder="1" applyAlignment="1">
      <alignment vertical="center" wrapText="1"/>
    </xf>
    <xf numFmtId="0" fontId="15" fillId="5" borderId="7" xfId="0" applyFont="1" applyFill="1" applyBorder="1" applyAlignment="1">
      <alignment vertical="center" wrapText="1"/>
    </xf>
    <xf numFmtId="0" fontId="16" fillId="5" borderId="7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7" xfId="0" applyFont="1" applyBorder="1" applyAlignment="1">
      <alignment vertical="center" wrapText="1"/>
    </xf>
    <xf numFmtId="0" fontId="24" fillId="0" borderId="7" xfId="0" applyFont="1" applyBorder="1" applyAlignment="1">
      <alignment vertical="center"/>
    </xf>
    <xf numFmtId="0" fontId="24" fillId="3" borderId="7" xfId="0" applyFont="1" applyFill="1" applyBorder="1" applyAlignment="1">
      <alignment vertical="center"/>
    </xf>
    <xf numFmtId="0" fontId="27" fillId="2" borderId="17" xfId="0" quotePrefix="1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0" fontId="24" fillId="0" borderId="3" xfId="0" applyFont="1" applyBorder="1" applyAlignment="1">
      <alignment vertical="center" wrapText="1"/>
    </xf>
    <xf numFmtId="0" fontId="24" fillId="3" borderId="3" xfId="0" applyFont="1" applyFill="1" applyBorder="1" applyAlignment="1">
      <alignment vertical="center" wrapText="1"/>
    </xf>
    <xf numFmtId="0" fontId="25" fillId="3" borderId="7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 wrapText="1"/>
    </xf>
    <xf numFmtId="0" fontId="24" fillId="2" borderId="16" xfId="0" applyFont="1" applyFill="1" applyBorder="1" applyAlignment="1">
      <alignment vertical="center"/>
    </xf>
    <xf numFmtId="0" fontId="24" fillId="2" borderId="24" xfId="0" applyFont="1" applyFill="1" applyBorder="1" applyAlignment="1">
      <alignment vertical="center"/>
    </xf>
    <xf numFmtId="0" fontId="24" fillId="2" borderId="22" xfId="0" applyFont="1" applyFill="1" applyBorder="1" applyAlignment="1">
      <alignment vertical="center"/>
    </xf>
    <xf numFmtId="0" fontId="24" fillId="2" borderId="25" xfId="0" applyFont="1" applyFill="1" applyBorder="1" applyAlignment="1">
      <alignment vertical="center"/>
    </xf>
    <xf numFmtId="0" fontId="25" fillId="0" borderId="7" xfId="0" applyFont="1" applyBorder="1" applyAlignment="1">
      <alignment horizontal="center" vertical="center"/>
    </xf>
    <xf numFmtId="0" fontId="24" fillId="3" borderId="7" xfId="0" applyFont="1" applyFill="1" applyBorder="1" applyAlignment="1">
      <alignment vertical="center" wrapText="1"/>
    </xf>
    <xf numFmtId="0" fontId="25" fillId="3" borderId="7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8" fillId="0" borderId="10" xfId="0" applyFont="1" applyBorder="1"/>
    <xf numFmtId="0" fontId="28" fillId="0" borderId="11" xfId="0" applyFont="1" applyBorder="1"/>
    <xf numFmtId="0" fontId="24" fillId="0" borderId="8" xfId="0" applyFont="1" applyBorder="1" applyAlignment="1">
      <alignment vertical="center"/>
    </xf>
    <xf numFmtId="0" fontId="24" fillId="0" borderId="8" xfId="0" applyFont="1" applyBorder="1" applyAlignment="1">
      <alignment vertical="center" wrapText="1"/>
    </xf>
    <xf numFmtId="0" fontId="25" fillId="3" borderId="8" xfId="0" applyFont="1" applyFill="1" applyBorder="1" applyAlignment="1">
      <alignment horizontal="center" vertical="center"/>
    </xf>
    <xf numFmtId="0" fontId="26" fillId="0" borderId="0" xfId="0" applyFont="1"/>
    <xf numFmtId="0" fontId="4" fillId="0" borderId="0" xfId="0" applyFont="1" applyAlignment="1">
      <alignment vertical="center"/>
    </xf>
    <xf numFmtId="0" fontId="24" fillId="0" borderId="10" xfId="0" applyFont="1" applyBorder="1" applyAlignment="1">
      <alignment vertical="center"/>
    </xf>
    <xf numFmtId="0" fontId="25" fillId="3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 wrapText="1"/>
    </xf>
    <xf numFmtId="0" fontId="0" fillId="0" borderId="0" xfId="0"/>
    <xf numFmtId="0" fontId="1" fillId="0" borderId="14" xfId="0" applyFont="1" applyBorder="1"/>
    <xf numFmtId="0" fontId="1" fillId="0" borderId="15" xfId="0" applyFont="1" applyBorder="1"/>
    <xf numFmtId="0" fontId="7" fillId="0" borderId="0" xfId="0" applyFont="1" applyAlignment="1">
      <alignment horizontal="right" vertical="center" wrapText="1"/>
    </xf>
    <xf numFmtId="0" fontId="14" fillId="0" borderId="0" xfId="0" applyFont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13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4" fillId="0" borderId="3" xfId="0" applyFont="1" applyBorder="1" applyAlignment="1">
      <alignment vertical="center"/>
    </xf>
    <xf numFmtId="0" fontId="28" fillId="0" borderId="4" xfId="0" applyFont="1" applyBorder="1"/>
    <xf numFmtId="0" fontId="28" fillId="0" borderId="5" xfId="0" applyFont="1" applyBorder="1"/>
    <xf numFmtId="0" fontId="25" fillId="4" borderId="9" xfId="0" applyFont="1" applyFill="1" applyBorder="1" applyAlignment="1">
      <alignment vertical="center" wrapText="1"/>
    </xf>
    <xf numFmtId="0" fontId="28" fillId="0" borderId="1" xfId="0" applyFont="1" applyBorder="1"/>
    <xf numFmtId="0" fontId="24" fillId="0" borderId="3" xfId="0" applyFont="1" applyBorder="1" applyAlignment="1">
      <alignment vertical="center" wrapText="1"/>
    </xf>
    <xf numFmtId="0" fontId="26" fillId="0" borderId="0" xfId="0" applyFont="1"/>
    <xf numFmtId="0" fontId="28" fillId="0" borderId="24" xfId="0" applyFont="1" applyBorder="1"/>
    <xf numFmtId="0" fontId="28" fillId="0" borderId="25" xfId="0" applyFont="1" applyBorder="1"/>
    <xf numFmtId="0" fontId="28" fillId="0" borderId="22" xfId="0" applyFont="1" applyBorder="1"/>
    <xf numFmtId="0" fontId="28" fillId="0" borderId="16" xfId="0" applyFont="1" applyBorder="1"/>
    <xf numFmtId="0" fontId="27" fillId="2" borderId="12" xfId="0" applyFont="1" applyFill="1" applyBorder="1" applyAlignment="1">
      <alignment horizontal="center" vertical="center" wrapText="1"/>
    </xf>
    <xf numFmtId="0" fontId="27" fillId="2" borderId="13" xfId="0" applyFont="1" applyFill="1" applyBorder="1" applyAlignment="1">
      <alignment horizontal="center" vertical="center"/>
    </xf>
    <xf numFmtId="0" fontId="28" fillId="0" borderId="14" xfId="0" applyFont="1" applyBorder="1"/>
    <xf numFmtId="0" fontId="28" fillId="0" borderId="15" xfId="0" applyFont="1" applyBorder="1"/>
    <xf numFmtId="0" fontId="27" fillId="2" borderId="26" xfId="0" applyFont="1" applyFill="1" applyBorder="1" applyAlignment="1">
      <alignment horizontal="center" vertical="center"/>
    </xf>
    <xf numFmtId="0" fontId="28" fillId="0" borderId="27" xfId="0" applyFont="1" applyBorder="1"/>
    <xf numFmtId="0" fontId="28" fillId="0" borderId="28" xfId="0" applyFont="1" applyBorder="1"/>
    <xf numFmtId="0" fontId="28" fillId="0" borderId="10" xfId="0" applyFont="1" applyBorder="1"/>
    <xf numFmtId="0" fontId="28" fillId="0" borderId="11" xfId="0" applyFont="1" applyBorder="1"/>
    <xf numFmtId="0" fontId="28" fillId="0" borderId="20" xfId="0" applyFont="1" applyBorder="1"/>
    <xf numFmtId="0" fontId="28" fillId="0" borderId="19" xfId="0" applyFont="1" applyBorder="1"/>
    <xf numFmtId="0" fontId="28" fillId="0" borderId="9" xfId="0" applyFont="1" applyBorder="1"/>
    <xf numFmtId="0" fontId="28" fillId="0" borderId="18" xfId="0" applyFont="1" applyBorder="1"/>
    <xf numFmtId="0" fontId="24" fillId="3" borderId="3" xfId="0" applyFont="1" applyFill="1" applyBorder="1" applyAlignment="1">
      <alignment vertical="center"/>
    </xf>
    <xf numFmtId="0" fontId="27" fillId="2" borderId="26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vertical="center"/>
    </xf>
    <xf numFmtId="0" fontId="25" fillId="3" borderId="3" xfId="0" applyFont="1" applyFill="1" applyBorder="1" applyAlignment="1">
      <alignment horizontal="center" vertical="center"/>
    </xf>
    <xf numFmtId="0" fontId="24" fillId="0" borderId="8" xfId="0" applyFont="1" applyBorder="1" applyAlignment="1">
      <alignment vertical="center" wrapText="1"/>
    </xf>
    <xf numFmtId="0" fontId="24" fillId="4" borderId="8" xfId="0" applyFont="1" applyFill="1" applyBorder="1" applyAlignment="1">
      <alignment vertical="center"/>
    </xf>
    <xf numFmtId="0" fontId="25" fillId="3" borderId="8" xfId="0" applyFont="1" applyFill="1" applyBorder="1" applyAlignment="1">
      <alignment horizontal="center" vertical="center"/>
    </xf>
    <xf numFmtId="0" fontId="24" fillId="0" borderId="2" xfId="0" applyFont="1" applyBorder="1" applyAlignment="1">
      <alignment vertical="center" wrapText="1"/>
    </xf>
    <xf numFmtId="0" fontId="28" fillId="0" borderId="6" xfId="0" applyFont="1" applyBorder="1"/>
    <xf numFmtId="0" fontId="24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 wrapText="1"/>
    </xf>
    <xf numFmtId="0" fontId="30" fillId="0" borderId="0" xfId="0" applyFont="1" applyAlignment="1">
      <alignment horizontal="center" vertical="center" wrapText="1"/>
    </xf>
    <xf numFmtId="0" fontId="31" fillId="0" borderId="0" xfId="0" applyFont="1"/>
    <xf numFmtId="0" fontId="4" fillId="0" borderId="0" xfId="0" applyFont="1" applyAlignment="1">
      <alignment vertical="center"/>
    </xf>
    <xf numFmtId="0" fontId="27" fillId="2" borderId="24" xfId="0" applyFont="1" applyFill="1" applyBorder="1" applyAlignment="1">
      <alignment horizontal="center" vertical="center" wrapText="1"/>
    </xf>
    <xf numFmtId="0" fontId="24" fillId="3" borderId="3" xfId="0" applyFont="1" applyFill="1" applyBorder="1" applyAlignment="1">
      <alignment horizontal="center" vertical="center"/>
    </xf>
    <xf numFmtId="0" fontId="25" fillId="3" borderId="21" xfId="0" applyFont="1" applyFill="1" applyBorder="1" applyAlignment="1">
      <alignment horizontal="center" vertical="center"/>
    </xf>
    <xf numFmtId="0" fontId="24" fillId="0" borderId="21" xfId="0" applyFont="1" applyBorder="1" applyAlignment="1">
      <alignment vertical="center"/>
    </xf>
    <xf numFmtId="0" fontId="26" fillId="0" borderId="0" xfId="0" applyFont="1" applyBorder="1"/>
    <xf numFmtId="0" fontId="24" fillId="3" borderId="21" xfId="0" applyFont="1" applyFill="1" applyBorder="1" applyAlignment="1">
      <alignment vertical="center" wrapText="1"/>
    </xf>
    <xf numFmtId="0" fontId="24" fillId="0" borderId="29" xfId="0" applyFont="1" applyBorder="1" applyAlignment="1">
      <alignment vertical="center" wrapText="1"/>
    </xf>
    <xf numFmtId="0" fontId="24" fillId="0" borderId="29" xfId="0" applyFont="1" applyBorder="1" applyAlignment="1">
      <alignment vertical="center"/>
    </xf>
    <xf numFmtId="0" fontId="25" fillId="3" borderId="30" xfId="0" applyFont="1" applyFill="1" applyBorder="1" applyAlignment="1">
      <alignment horizontal="center" vertical="center"/>
    </xf>
    <xf numFmtId="0" fontId="28" fillId="0" borderId="31" xfId="0" applyFont="1" applyBorder="1"/>
    <xf numFmtId="0" fontId="24" fillId="0" borderId="30" xfId="0" applyFont="1" applyBorder="1" applyAlignment="1">
      <alignment vertical="center"/>
    </xf>
    <xf numFmtId="0" fontId="28" fillId="0" borderId="32" xfId="0" applyFont="1" applyBorder="1"/>
    <xf numFmtId="0" fontId="28" fillId="0" borderId="33" xfId="0" applyFont="1" applyBorder="1"/>
    <xf numFmtId="0" fontId="28" fillId="0" borderId="34" xfId="0" applyFont="1" applyBorder="1"/>
    <xf numFmtId="0" fontId="28" fillId="0" borderId="35" xfId="0" applyFont="1" applyBorder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4" xfId="0" applyFont="1" applyBorder="1" applyAlignment="1">
      <alignment vertical="center"/>
    </xf>
    <xf numFmtId="0" fontId="32" fillId="0" borderId="0" xfId="0" applyFont="1"/>
    <xf numFmtId="0" fontId="32" fillId="0" borderId="3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47B6F072-F847-4D5C-8666-017A628B00D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43E0239B-6800-4DFA-A8B9-8967C78E12A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84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78"/>
      <c r="C2" s="85"/>
      <c r="D2" s="78"/>
      <c r="E2" s="78"/>
      <c r="F2" s="1"/>
      <c r="G2" s="81" t="s">
        <v>9</v>
      </c>
      <c r="H2" s="78"/>
      <c r="I2" s="78"/>
      <c r="J2" s="78"/>
      <c r="K2" s="7" t="s">
        <v>10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86" t="s">
        <v>11</v>
      </c>
      <c r="AI2" s="78"/>
      <c r="AJ2" s="78"/>
      <c r="AK2" s="10"/>
    </row>
    <row r="3" spans="1:37" ht="15.75" customHeight="1" x14ac:dyDescent="0.2">
      <c r="A3" s="5"/>
      <c r="B3" s="78"/>
      <c r="C3" s="78"/>
      <c r="D3" s="78"/>
      <c r="E3" s="78"/>
      <c r="F3" s="1"/>
      <c r="G3" s="81" t="s">
        <v>12</v>
      </c>
      <c r="H3" s="78"/>
      <c r="I3" s="78"/>
      <c r="J3" s="78"/>
      <c r="K3" s="7" t="s">
        <v>13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78"/>
      <c r="AI3" s="78"/>
      <c r="AJ3" s="78"/>
      <c r="AK3" s="10"/>
    </row>
    <row r="4" spans="1:37" ht="15.75" customHeight="1" x14ac:dyDescent="0.2">
      <c r="A4" s="5"/>
      <c r="B4" s="78"/>
      <c r="C4" s="78"/>
      <c r="D4" s="78"/>
      <c r="E4" s="78"/>
      <c r="F4" s="1"/>
      <c r="G4" s="81" t="s">
        <v>14</v>
      </c>
      <c r="H4" s="78"/>
      <c r="I4" s="78"/>
      <c r="J4" s="78"/>
      <c r="K4" s="7" t="s">
        <v>13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78"/>
      <c r="AI4" s="78"/>
      <c r="AJ4" s="78"/>
      <c r="AK4" s="10"/>
    </row>
    <row r="5" spans="1:37" ht="15.75" customHeight="1" x14ac:dyDescent="0.2">
      <c r="A5" s="5"/>
      <c r="B5" s="78"/>
      <c r="C5" s="78"/>
      <c r="D5" s="78"/>
      <c r="E5" s="78"/>
      <c r="F5" s="1"/>
      <c r="G5" s="81" t="s">
        <v>15</v>
      </c>
      <c r="H5" s="78"/>
      <c r="I5" s="78"/>
      <c r="J5" s="78"/>
      <c r="K5" s="7" t="s">
        <v>13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78"/>
      <c r="AI5" s="78"/>
      <c r="AJ5" s="78"/>
      <c r="AK5" s="10"/>
    </row>
    <row r="6" spans="1:37" ht="15.75" customHeight="1" x14ac:dyDescent="0.2">
      <c r="A6" s="5"/>
      <c r="B6" s="78"/>
      <c r="C6" s="78"/>
      <c r="D6" s="78"/>
      <c r="E6" s="78"/>
      <c r="F6" s="1"/>
      <c r="G6" s="81" t="s">
        <v>16</v>
      </c>
      <c r="H6" s="78"/>
      <c r="I6" s="78"/>
      <c r="J6" s="78"/>
      <c r="K6" s="7" t="s">
        <v>13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78"/>
      <c r="AI6" s="78"/>
      <c r="AJ6" s="78"/>
      <c r="AK6" s="10"/>
    </row>
    <row r="7" spans="1:37" ht="15.75" customHeight="1" x14ac:dyDescent="0.2">
      <c r="A7" s="5"/>
      <c r="B7" s="78"/>
      <c r="C7" s="78"/>
      <c r="D7" s="78"/>
      <c r="E7" s="78"/>
      <c r="F7" s="1"/>
      <c r="G7" s="81" t="s">
        <v>17</v>
      </c>
      <c r="H7" s="78"/>
      <c r="I7" s="78"/>
      <c r="J7" s="78"/>
      <c r="K7" s="7" t="s">
        <v>13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78"/>
      <c r="AI7" s="78"/>
      <c r="AJ7" s="78"/>
      <c r="AK7" s="10"/>
    </row>
    <row r="8" spans="1:37" ht="15.75" customHeight="1" x14ac:dyDescent="0.2">
      <c r="A8" s="5"/>
      <c r="B8" s="78"/>
      <c r="C8" s="1"/>
      <c r="D8" s="1"/>
      <c r="E8" s="1"/>
      <c r="F8" s="1"/>
      <c r="G8" s="1"/>
      <c r="H8" s="1"/>
      <c r="I8" s="12"/>
      <c r="J8" s="82" t="s">
        <v>18</v>
      </c>
      <c r="K8" s="78"/>
      <c r="L8" s="78"/>
      <c r="M8" s="78"/>
      <c r="N8" s="78"/>
      <c r="O8" s="78"/>
      <c r="P8" s="78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83" t="s">
        <v>19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80"/>
    </row>
    <row r="10" spans="1:37" ht="15.75" customHeight="1" x14ac:dyDescent="0.2">
      <c r="A10" s="13" t="s">
        <v>20</v>
      </c>
      <c r="B10" s="13" t="s">
        <v>21</v>
      </c>
      <c r="C10" s="13" t="s">
        <v>22</v>
      </c>
      <c r="D10" s="13" t="s">
        <v>23</v>
      </c>
      <c r="E10" s="13" t="s">
        <v>24</v>
      </c>
      <c r="F10" s="13" t="s">
        <v>25</v>
      </c>
      <c r="G10" s="13" t="s">
        <v>26</v>
      </c>
      <c r="H10" s="13" t="s">
        <v>27</v>
      </c>
      <c r="I10" s="13" t="s">
        <v>28</v>
      </c>
      <c r="J10" s="13" t="s">
        <v>29</v>
      </c>
      <c r="K10" s="13" t="s">
        <v>30</v>
      </c>
      <c r="L10" s="13" t="s">
        <v>31</v>
      </c>
      <c r="M10" s="13" t="s">
        <v>32</v>
      </c>
      <c r="N10" s="13" t="s">
        <v>33</v>
      </c>
      <c r="O10" s="13" t="s">
        <v>34</v>
      </c>
      <c r="P10" s="13" t="s">
        <v>35</v>
      </c>
      <c r="Q10" s="13" t="s">
        <v>36</v>
      </c>
      <c r="R10" s="13" t="s">
        <v>37</v>
      </c>
      <c r="S10" s="13" t="s">
        <v>38</v>
      </c>
      <c r="T10" s="13" t="s">
        <v>39</v>
      </c>
      <c r="U10" s="13" t="s">
        <v>40</v>
      </c>
      <c r="V10" s="13" t="s">
        <v>41</v>
      </c>
      <c r="W10" s="13" t="s">
        <v>42</v>
      </c>
      <c r="X10" s="13" t="s">
        <v>43</v>
      </c>
      <c r="Y10" s="13" t="s">
        <v>44</v>
      </c>
      <c r="Z10" s="13" t="s">
        <v>45</v>
      </c>
      <c r="AA10" s="13" t="s">
        <v>46</v>
      </c>
      <c r="AB10" s="13" t="s">
        <v>47</v>
      </c>
      <c r="AC10" s="13" t="s">
        <v>48</v>
      </c>
      <c r="AD10" s="13" t="s">
        <v>49</v>
      </c>
      <c r="AE10" s="13" t="s">
        <v>50</v>
      </c>
      <c r="AF10" s="13" t="s">
        <v>51</v>
      </c>
      <c r="AG10" s="13" t="s">
        <v>52</v>
      </c>
      <c r="AH10" s="13" t="s">
        <v>53</v>
      </c>
      <c r="AI10" s="13" t="s">
        <v>54</v>
      </c>
      <c r="AJ10" s="13" t="s">
        <v>55</v>
      </c>
      <c r="AK10" s="13" t="s">
        <v>56</v>
      </c>
    </row>
    <row r="11" spans="1:37" ht="15.75" customHeight="1" x14ac:dyDescent="0.2">
      <c r="A11" s="14" t="s">
        <v>57</v>
      </c>
      <c r="B11" s="15" t="s">
        <v>58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59</v>
      </c>
      <c r="B12" s="18" t="s">
        <v>60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61</v>
      </c>
      <c r="B13" s="18" t="s">
        <v>62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63</v>
      </c>
      <c r="B14" s="18" t="s">
        <v>64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65</v>
      </c>
      <c r="B15" s="18" t="s">
        <v>66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67</v>
      </c>
      <c r="B16" s="18" t="s">
        <v>68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69</v>
      </c>
      <c r="B17" s="18" t="s">
        <v>70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71</v>
      </c>
      <c r="B18" s="18" t="s">
        <v>72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73</v>
      </c>
      <c r="B19" s="18" t="s">
        <v>74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75</v>
      </c>
      <c r="B20" s="18" t="s">
        <v>76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77</v>
      </c>
      <c r="B21" s="18" t="s">
        <v>78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79</v>
      </c>
      <c r="B22" s="18" t="s">
        <v>80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81</v>
      </c>
      <c r="B23" s="18" t="s">
        <v>82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83</v>
      </c>
      <c r="B24" s="18" t="s">
        <v>84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85</v>
      </c>
      <c r="B25" s="18" t="s">
        <v>86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87</v>
      </c>
      <c r="B26" s="18" t="s">
        <v>88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89</v>
      </c>
      <c r="B27" s="18" t="s">
        <v>90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91</v>
      </c>
      <c r="B28" s="18" t="s">
        <v>92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93</v>
      </c>
      <c r="B29" s="18" t="s">
        <v>94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95</v>
      </c>
      <c r="B30" s="18" t="s">
        <v>96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97</v>
      </c>
      <c r="B31" s="18" t="s">
        <v>98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99</v>
      </c>
      <c r="B32" s="18" t="s">
        <v>100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101</v>
      </c>
      <c r="B33" s="18" t="s">
        <v>102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103</v>
      </c>
      <c r="B34" s="18" t="s">
        <v>104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105</v>
      </c>
      <c r="B35" s="18" t="s">
        <v>106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107</v>
      </c>
      <c r="B36" s="18" t="s">
        <v>108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109</v>
      </c>
      <c r="B37" s="18" t="s">
        <v>110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111</v>
      </c>
      <c r="B38" s="18" t="s">
        <v>112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113</v>
      </c>
      <c r="B39" s="18" t="s">
        <v>114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115</v>
      </c>
      <c r="B40" s="18" t="s">
        <v>116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117</v>
      </c>
      <c r="B41" s="18" t="s">
        <v>118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119</v>
      </c>
      <c r="B42" s="18" t="s">
        <v>120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121</v>
      </c>
      <c r="B43" s="18" t="s">
        <v>122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123</v>
      </c>
      <c r="B44" s="18" t="s">
        <v>124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125</v>
      </c>
      <c r="B45" s="18" t="s">
        <v>126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127</v>
      </c>
      <c r="B46" s="18" t="s">
        <v>128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129</v>
      </c>
      <c r="B47" s="18" t="s">
        <v>130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131</v>
      </c>
      <c r="B48" s="18" t="s">
        <v>132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133</v>
      </c>
      <c r="B49" s="18" t="s">
        <v>134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135</v>
      </c>
      <c r="B50" s="18" t="s">
        <v>136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137</v>
      </c>
      <c r="B51" s="18" t="s">
        <v>138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139</v>
      </c>
      <c r="B52" s="18" t="s">
        <v>140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141</v>
      </c>
      <c r="B53" s="18" t="s">
        <v>142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143</v>
      </c>
      <c r="B54" s="18" t="s">
        <v>144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145</v>
      </c>
      <c r="B55" s="18" t="s">
        <v>146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147</v>
      </c>
      <c r="B56" s="18" t="s">
        <v>148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149</v>
      </c>
      <c r="B57" s="18" t="s">
        <v>150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151</v>
      </c>
      <c r="B58" s="18" t="s">
        <v>152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153</v>
      </c>
      <c r="B59" s="18" t="s">
        <v>154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155</v>
      </c>
      <c r="B60" s="18" t="s">
        <v>156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157</v>
      </c>
      <c r="B61" s="18" t="s">
        <v>158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159</v>
      </c>
      <c r="B62" s="18" t="s">
        <v>160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161</v>
      </c>
      <c r="B63" s="18" t="s">
        <v>162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163</v>
      </c>
      <c r="B64" s="18" t="s">
        <v>164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165</v>
      </c>
      <c r="B65" s="18" t="s">
        <v>166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167</v>
      </c>
      <c r="B66" s="18" t="s">
        <v>168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169</v>
      </c>
      <c r="B67" s="18" t="s">
        <v>170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171</v>
      </c>
      <c r="B68" s="18" t="s">
        <v>172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173</v>
      </c>
      <c r="B69" s="18" t="s">
        <v>174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175</v>
      </c>
      <c r="B70" s="18" t="s">
        <v>176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177</v>
      </c>
      <c r="B71" s="20" t="s">
        <v>178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179</v>
      </c>
      <c r="B72" s="18" t="s">
        <v>180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181</v>
      </c>
      <c r="B73" s="18" t="s">
        <v>182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183</v>
      </c>
      <c r="B74" s="18" t="s">
        <v>184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185</v>
      </c>
      <c r="B75" s="18" t="s">
        <v>186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187</v>
      </c>
      <c r="B76" s="18" t="s">
        <v>188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189</v>
      </c>
      <c r="B77" s="18" t="s">
        <v>190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191</v>
      </c>
      <c r="B78" s="18" t="s">
        <v>192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193</v>
      </c>
      <c r="B79" s="18" t="s">
        <v>194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195</v>
      </c>
      <c r="B80" s="18" t="s">
        <v>196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197</v>
      </c>
      <c r="B81" s="18" t="s">
        <v>198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199</v>
      </c>
      <c r="B82" s="18" t="s">
        <v>200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201</v>
      </c>
      <c r="B83" s="18" t="s">
        <v>202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203</v>
      </c>
      <c r="B84" s="18" t="s">
        <v>204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205</v>
      </c>
      <c r="B85" s="18" t="s">
        <v>206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207</v>
      </c>
      <c r="B86" s="18" t="s">
        <v>208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209</v>
      </c>
      <c r="B87" s="18" t="s">
        <v>210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211</v>
      </c>
      <c r="B88" s="18" t="s">
        <v>212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213</v>
      </c>
      <c r="B89" s="18" t="s">
        <v>214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215</v>
      </c>
      <c r="B90" s="18" t="s">
        <v>216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217</v>
      </c>
      <c r="B91" s="18" t="s">
        <v>218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219</v>
      </c>
      <c r="B92" s="18" t="s">
        <v>220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221</v>
      </c>
      <c r="B93" s="18" t="s">
        <v>222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223</v>
      </c>
      <c r="B94" s="18" t="s">
        <v>224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225</v>
      </c>
      <c r="B95" s="18" t="s">
        <v>226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227</v>
      </c>
      <c r="B96" s="18" t="s">
        <v>228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229</v>
      </c>
      <c r="B97" s="18" t="s">
        <v>230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231</v>
      </c>
      <c r="B98" s="18" t="s">
        <v>232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233</v>
      </c>
      <c r="B99" s="18" t="s">
        <v>234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235</v>
      </c>
      <c r="B100" s="18" t="s">
        <v>236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237</v>
      </c>
      <c r="B101" s="18" t="s">
        <v>238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239</v>
      </c>
      <c r="B102" s="18" t="s">
        <v>240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241</v>
      </c>
      <c r="B103" s="18" t="s">
        <v>242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243</v>
      </c>
      <c r="B104" s="18" t="s">
        <v>244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245</v>
      </c>
      <c r="B105" s="18" t="s">
        <v>246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247</v>
      </c>
      <c r="B106" s="18" t="s">
        <v>248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249</v>
      </c>
      <c r="B107" s="18" t="s">
        <v>250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251</v>
      </c>
      <c r="B108" s="18" t="s">
        <v>252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253</v>
      </c>
      <c r="B109" s="18" t="s">
        <v>254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255</v>
      </c>
      <c r="B110" s="18" t="s">
        <v>256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257</v>
      </c>
      <c r="B111" s="20" t="s">
        <v>258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259</v>
      </c>
      <c r="B112" s="18" t="s">
        <v>260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261</v>
      </c>
      <c r="B113" s="18" t="s">
        <v>262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263</v>
      </c>
      <c r="B114" s="18" t="s">
        <v>264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265</v>
      </c>
      <c r="B115" s="18" t="s">
        <v>266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267</v>
      </c>
      <c r="B116" s="20" t="s">
        <v>268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269</v>
      </c>
      <c r="B117" s="18" t="s">
        <v>270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271</v>
      </c>
      <c r="B118" s="18" t="s">
        <v>272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273</v>
      </c>
      <c r="B119" s="18" t="s">
        <v>274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275</v>
      </c>
      <c r="B120" s="18" t="s">
        <v>276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277</v>
      </c>
      <c r="B121" s="18" t="s">
        <v>278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279</v>
      </c>
      <c r="B122" s="18" t="s">
        <v>280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281</v>
      </c>
      <c r="B123" s="18" t="s">
        <v>282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283</v>
      </c>
      <c r="B124" s="18" t="s">
        <v>284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285</v>
      </c>
      <c r="B125" s="18" t="s">
        <v>286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287</v>
      </c>
      <c r="B126" s="18" t="s">
        <v>288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289</v>
      </c>
      <c r="B127" s="18" t="s">
        <v>290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291</v>
      </c>
      <c r="B128" s="20" t="s">
        <v>292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293</v>
      </c>
      <c r="B129" s="18" t="s">
        <v>294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295</v>
      </c>
      <c r="B130" s="18" t="s">
        <v>296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297</v>
      </c>
      <c r="B131" s="18" t="s">
        <v>298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299</v>
      </c>
      <c r="B132" s="18" t="s">
        <v>300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301</v>
      </c>
      <c r="B133" s="18" t="s">
        <v>302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303</v>
      </c>
      <c r="B134" s="18" t="s">
        <v>304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305</v>
      </c>
      <c r="B135" s="18" t="s">
        <v>306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307</v>
      </c>
      <c r="B136" s="18" t="s">
        <v>308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309</v>
      </c>
      <c r="B137" s="20" t="s">
        <v>310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311</v>
      </c>
      <c r="B138" s="18" t="s">
        <v>312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313</v>
      </c>
      <c r="B139" s="18" t="s">
        <v>314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315</v>
      </c>
      <c r="B140" s="18" t="s">
        <v>316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317</v>
      </c>
      <c r="B141" s="18" t="s">
        <v>318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319</v>
      </c>
      <c r="B142" s="18" t="s">
        <v>320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321</v>
      </c>
      <c r="B143" s="18" t="s">
        <v>322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323</v>
      </c>
      <c r="B144" s="18" t="s">
        <v>324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325</v>
      </c>
      <c r="B145" s="18" t="s">
        <v>326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327</v>
      </c>
      <c r="B146" s="18" t="s">
        <v>328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329</v>
      </c>
      <c r="B147" s="18" t="s">
        <v>330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331</v>
      </c>
      <c r="B148" s="20" t="s">
        <v>332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333</v>
      </c>
      <c r="B149" s="18" t="s">
        <v>334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335</v>
      </c>
      <c r="B150" s="18" t="s">
        <v>336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337</v>
      </c>
      <c r="B151" s="18" t="s">
        <v>338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339</v>
      </c>
      <c r="B152" s="18" t="s">
        <v>340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341</v>
      </c>
      <c r="B153" s="18" t="s">
        <v>342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343</v>
      </c>
      <c r="B154" s="18" t="s">
        <v>344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345</v>
      </c>
      <c r="B155" s="18" t="s">
        <v>346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347</v>
      </c>
      <c r="B156" s="18" t="s">
        <v>348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349</v>
      </c>
      <c r="B157" s="18" t="s">
        <v>350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351</v>
      </c>
      <c r="B158" s="18" t="s">
        <v>352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353</v>
      </c>
      <c r="B159" s="20" t="s">
        <v>354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355</v>
      </c>
      <c r="B160" s="18" t="s">
        <v>356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357</v>
      </c>
      <c r="B161" s="18" t="s">
        <v>358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359</v>
      </c>
      <c r="B162" s="18" t="s">
        <v>360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361</v>
      </c>
      <c r="B163" s="20" t="s">
        <v>362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363</v>
      </c>
      <c r="B164" s="18" t="s">
        <v>364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365</v>
      </c>
      <c r="B165" s="18" t="s">
        <v>366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367</v>
      </c>
      <c r="B166" s="18" t="s">
        <v>368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369</v>
      </c>
      <c r="B167" s="18" t="s">
        <v>370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371</v>
      </c>
      <c r="B168" s="18" t="s">
        <v>372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373</v>
      </c>
      <c r="B169" s="18" t="s">
        <v>374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375</v>
      </c>
      <c r="B170" s="18" t="s">
        <v>376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377</v>
      </c>
      <c r="B171" s="18" t="s">
        <v>378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379</v>
      </c>
      <c r="B172" s="18" t="s">
        <v>380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381</v>
      </c>
      <c r="B173" s="18" t="s">
        <v>382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383</v>
      </c>
      <c r="B174" s="18" t="s">
        <v>384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385</v>
      </c>
      <c r="B175" s="18" t="s">
        <v>386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387</v>
      </c>
      <c r="B176" s="18" t="s">
        <v>388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389</v>
      </c>
      <c r="B177" s="18" t="s">
        <v>390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391</v>
      </c>
      <c r="B178" s="18" t="s">
        <v>392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393</v>
      </c>
      <c r="B179" s="18" t="s">
        <v>394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395</v>
      </c>
      <c r="B180" s="18" t="s">
        <v>396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397</v>
      </c>
      <c r="B181" s="18" t="s">
        <v>398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399</v>
      </c>
      <c r="B182" s="18" t="s">
        <v>400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401</v>
      </c>
      <c r="B183" s="18" t="s">
        <v>402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403</v>
      </c>
      <c r="B184" s="18" t="s">
        <v>404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405</v>
      </c>
      <c r="B185" s="20" t="s">
        <v>406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407</v>
      </c>
      <c r="B186" s="18" t="s">
        <v>408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409</v>
      </c>
      <c r="B187" s="18" t="s">
        <v>410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411</v>
      </c>
      <c r="B188" s="18" t="s">
        <v>412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413</v>
      </c>
      <c r="B189" s="18" t="s">
        <v>414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415</v>
      </c>
      <c r="B190" s="18" t="s">
        <v>416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417</v>
      </c>
      <c r="B191" s="18" t="s">
        <v>418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419</v>
      </c>
      <c r="B192" s="18" t="s">
        <v>420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421</v>
      </c>
      <c r="B193" s="18" t="s">
        <v>422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423</v>
      </c>
      <c r="B194" s="18" t="s">
        <v>424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425</v>
      </c>
      <c r="B195" s="18" t="s">
        <v>426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427</v>
      </c>
      <c r="B196" s="18" t="s">
        <v>428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429</v>
      </c>
      <c r="B197" s="18" t="s">
        <v>430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431</v>
      </c>
      <c r="B198" s="18" t="s">
        <v>432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433</v>
      </c>
      <c r="B199" s="18" t="s">
        <v>434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435</v>
      </c>
      <c r="B200" s="18" t="s">
        <v>436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437</v>
      </c>
      <c r="B201" s="20" t="s">
        <v>438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439</v>
      </c>
      <c r="B202" s="18" t="s">
        <v>440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441</v>
      </c>
      <c r="B203" s="18" t="s">
        <v>442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443</v>
      </c>
      <c r="B204" s="18" t="s">
        <v>444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445</v>
      </c>
      <c r="B205" s="18" t="s">
        <v>446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447</v>
      </c>
      <c r="B206" s="18" t="s">
        <v>448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449</v>
      </c>
      <c r="B207" s="18" t="s">
        <v>450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451</v>
      </c>
      <c r="B208" s="18" t="s">
        <v>452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453</v>
      </c>
      <c r="B209" s="18" t="s">
        <v>454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455</v>
      </c>
      <c r="B210" s="18" t="s">
        <v>456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457</v>
      </c>
      <c r="B211" s="18" t="s">
        <v>458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459</v>
      </c>
      <c r="B212" s="18" t="s">
        <v>460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461</v>
      </c>
      <c r="B213" s="18" t="s">
        <v>462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463</v>
      </c>
      <c r="B214" s="18" t="s">
        <v>464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465</v>
      </c>
      <c r="B215" s="18" t="s">
        <v>466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467</v>
      </c>
      <c r="B216" s="18" t="s">
        <v>468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469</v>
      </c>
      <c r="B217" s="18" t="s">
        <v>470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471</v>
      </c>
      <c r="B218" s="18" t="s">
        <v>472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473</v>
      </c>
      <c r="B219" s="18" t="s">
        <v>474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475</v>
      </c>
      <c r="B220" s="18" t="s">
        <v>476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477</v>
      </c>
      <c r="B221" s="20" t="s">
        <v>478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479</v>
      </c>
      <c r="B222" s="18" t="s">
        <v>480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481</v>
      </c>
      <c r="B223" s="18" t="s">
        <v>482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483</v>
      </c>
      <c r="B224" s="20" t="s">
        <v>484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485</v>
      </c>
      <c r="B225" s="18" t="s">
        <v>486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487</v>
      </c>
      <c r="B226" s="18" t="s">
        <v>488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489</v>
      </c>
      <c r="B227" s="18" t="s">
        <v>490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491</v>
      </c>
      <c r="B228" s="18" t="s">
        <v>492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493</v>
      </c>
      <c r="B229" s="18" t="s">
        <v>494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495</v>
      </c>
      <c r="B230" s="18" t="s">
        <v>496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497</v>
      </c>
      <c r="B231" s="18" t="s">
        <v>498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499</v>
      </c>
      <c r="B232" s="18" t="s">
        <v>500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501</v>
      </c>
      <c r="B233" s="18" t="s">
        <v>502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503</v>
      </c>
      <c r="B234" s="18" t="s">
        <v>504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505</v>
      </c>
      <c r="B235" s="18" t="s">
        <v>506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507</v>
      </c>
      <c r="B236" s="20" t="s">
        <v>508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509</v>
      </c>
      <c r="B237" s="18" t="s">
        <v>510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511</v>
      </c>
      <c r="B238" s="18" t="s">
        <v>512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513</v>
      </c>
      <c r="B239" s="18" t="s">
        <v>514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515</v>
      </c>
      <c r="B240" s="18" t="s">
        <v>516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517</v>
      </c>
      <c r="B241" s="18" t="s">
        <v>518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519</v>
      </c>
      <c r="B242" s="18" t="s">
        <v>520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521</v>
      </c>
      <c r="B243" s="18" t="s">
        <v>522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523</v>
      </c>
      <c r="B244" s="18" t="s">
        <v>524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525</v>
      </c>
      <c r="B245" s="18" t="s">
        <v>526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527</v>
      </c>
      <c r="B246" s="18" t="s">
        <v>528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529</v>
      </c>
      <c r="B247" s="18" t="s">
        <v>530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531</v>
      </c>
      <c r="B248" s="18" t="s">
        <v>532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533</v>
      </c>
      <c r="B249" s="18" t="s">
        <v>534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535</v>
      </c>
      <c r="B250" s="18" t="s">
        <v>536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537</v>
      </c>
      <c r="B251" s="18" t="s">
        <v>538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539</v>
      </c>
      <c r="B252" s="18" t="s">
        <v>540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541</v>
      </c>
      <c r="B253" s="18" t="s">
        <v>542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543</v>
      </c>
      <c r="B254" s="18" t="s">
        <v>544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545</v>
      </c>
      <c r="B255" s="18" t="s">
        <v>546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547</v>
      </c>
      <c r="B256" s="18" t="s">
        <v>548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549</v>
      </c>
      <c r="B257" s="18" t="s">
        <v>550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551</v>
      </c>
      <c r="B258" s="18" t="s">
        <v>552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553</v>
      </c>
      <c r="B259" s="18" t="s">
        <v>554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555</v>
      </c>
      <c r="B260" s="20" t="s">
        <v>556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557</v>
      </c>
      <c r="B261" s="18" t="s">
        <v>558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559</v>
      </c>
      <c r="B262" s="18" t="s">
        <v>560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561</v>
      </c>
      <c r="B263" s="18" t="s">
        <v>562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563</v>
      </c>
      <c r="B264" s="18" t="s">
        <v>564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565</v>
      </c>
      <c r="B265" s="18" t="s">
        <v>566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567</v>
      </c>
      <c r="B266" s="18" t="s">
        <v>568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569</v>
      </c>
      <c r="B267" s="18" t="s">
        <v>570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571</v>
      </c>
      <c r="B268" s="18" t="s">
        <v>572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573</v>
      </c>
      <c r="B269" s="18" t="s">
        <v>574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575</v>
      </c>
      <c r="B270" s="18" t="s">
        <v>576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577</v>
      </c>
      <c r="B271" s="18" t="s">
        <v>578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579</v>
      </c>
      <c r="B272" s="20" t="s">
        <v>580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581</v>
      </c>
      <c r="B273" s="18" t="s">
        <v>582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583</v>
      </c>
      <c r="B274" s="18" t="s">
        <v>584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585</v>
      </c>
      <c r="B275" s="18" t="s">
        <v>586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587</v>
      </c>
      <c r="B276" s="18" t="s">
        <v>588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589</v>
      </c>
      <c r="B277" s="18" t="s">
        <v>590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591</v>
      </c>
      <c r="B278" s="18" t="s">
        <v>592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593</v>
      </c>
      <c r="B279" s="18" t="s">
        <v>594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595</v>
      </c>
      <c r="B280" s="18" t="s">
        <v>596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597</v>
      </c>
      <c r="B281" s="18" t="s">
        <v>598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599</v>
      </c>
      <c r="B282" s="20" t="s">
        <v>600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601</v>
      </c>
      <c r="B283" s="18" t="s">
        <v>602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603</v>
      </c>
      <c r="B284" s="18" t="s">
        <v>604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605</v>
      </c>
      <c r="B285" s="18" t="s">
        <v>606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607</v>
      </c>
      <c r="B286" s="18" t="s">
        <v>608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609</v>
      </c>
      <c r="B287" s="18" t="s">
        <v>610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611</v>
      </c>
      <c r="B288" s="18" t="s">
        <v>612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613</v>
      </c>
      <c r="B289" s="18" t="s">
        <v>614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615</v>
      </c>
      <c r="B290" s="18" t="s">
        <v>616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617</v>
      </c>
      <c r="B291" s="18" t="s">
        <v>618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619</v>
      </c>
      <c r="B292" s="18" t="s">
        <v>620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621</v>
      </c>
      <c r="B293" s="18" t="s">
        <v>622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623</v>
      </c>
      <c r="B294" s="18" t="s">
        <v>624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625</v>
      </c>
      <c r="B295" s="18" t="s">
        <v>626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627</v>
      </c>
      <c r="B296" s="18" t="s">
        <v>628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629</v>
      </c>
      <c r="B297" s="18" t="s">
        <v>630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631</v>
      </c>
      <c r="B298" s="18" t="s">
        <v>632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633</v>
      </c>
      <c r="B299" s="18" t="s">
        <v>634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635</v>
      </c>
      <c r="B300" s="22" t="s">
        <v>636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637</v>
      </c>
      <c r="B301" s="24" t="s">
        <v>638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639</v>
      </c>
      <c r="B302" s="24" t="s">
        <v>640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641</v>
      </c>
      <c r="B303" s="24" t="s">
        <v>642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643</v>
      </c>
      <c r="B304" s="24" t="s">
        <v>644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645</v>
      </c>
      <c r="B305" s="24" t="s">
        <v>646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647</v>
      </c>
      <c r="B306" s="24" t="s">
        <v>648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649</v>
      </c>
      <c r="B307" s="24" t="s">
        <v>650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651</v>
      </c>
      <c r="B308" s="24" t="s">
        <v>652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653</v>
      </c>
      <c r="B309" s="24" t="s">
        <v>654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655</v>
      </c>
      <c r="B310" s="24" t="s">
        <v>656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657</v>
      </c>
      <c r="B311" s="24" t="s">
        <v>658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659</v>
      </c>
      <c r="B312" s="24" t="s">
        <v>660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661</v>
      </c>
      <c r="B313" s="24" t="s">
        <v>662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663</v>
      </c>
      <c r="B314" s="24" t="s">
        <v>664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665</v>
      </c>
      <c r="B315" s="24" t="s">
        <v>666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667</v>
      </c>
      <c r="B316" s="24" t="s">
        <v>668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669</v>
      </c>
      <c r="B317" s="24" t="s">
        <v>670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671</v>
      </c>
      <c r="B318" s="24" t="s">
        <v>672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673</v>
      </c>
      <c r="B319" s="24" t="s">
        <v>674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675</v>
      </c>
      <c r="B320" s="22" t="s">
        <v>676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677</v>
      </c>
      <c r="B321" s="24" t="s">
        <v>678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679</v>
      </c>
      <c r="B322" s="24" t="s">
        <v>680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681</v>
      </c>
      <c r="B323" s="24" t="s">
        <v>682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683</v>
      </c>
      <c r="B324" s="24" t="s">
        <v>684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685</v>
      </c>
      <c r="B325" s="24" t="s">
        <v>686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687</v>
      </c>
      <c r="B326" s="24" t="s">
        <v>688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689</v>
      </c>
      <c r="B327" s="24" t="s">
        <v>690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691</v>
      </c>
      <c r="B328" s="24" t="s">
        <v>692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693</v>
      </c>
      <c r="B329" s="24" t="s">
        <v>694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695</v>
      </c>
      <c r="B330" s="22" t="s">
        <v>696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697</v>
      </c>
      <c r="B331" s="24" t="s">
        <v>698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699</v>
      </c>
      <c r="B332" s="24" t="s">
        <v>700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701</v>
      </c>
      <c r="B333" s="24" t="s">
        <v>702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703</v>
      </c>
      <c r="B334" s="24" t="s">
        <v>704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705</v>
      </c>
      <c r="B335" s="24" t="s">
        <v>706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707</v>
      </c>
      <c r="B336" s="24" t="s">
        <v>708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90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78"/>
      <c r="C2" s="91"/>
      <c r="D2" s="78"/>
      <c r="E2" s="78"/>
      <c r="F2" s="2"/>
      <c r="G2" s="87" t="s">
        <v>709</v>
      </c>
      <c r="H2" s="78"/>
      <c r="I2" s="78"/>
      <c r="J2" s="78"/>
      <c r="K2" s="29" t="s">
        <v>10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92" t="s">
        <v>11</v>
      </c>
      <c r="AI2" s="78"/>
      <c r="AJ2" s="78"/>
      <c r="AK2" s="32"/>
    </row>
    <row r="3" spans="1:37" ht="15" customHeight="1" x14ac:dyDescent="0.2">
      <c r="A3" s="27"/>
      <c r="B3" s="78"/>
      <c r="C3" s="78"/>
      <c r="D3" s="78"/>
      <c r="E3" s="78"/>
      <c r="F3" s="2"/>
      <c r="G3" s="87" t="s">
        <v>12</v>
      </c>
      <c r="H3" s="78"/>
      <c r="I3" s="78"/>
      <c r="J3" s="78"/>
      <c r="K3" s="29" t="s">
        <v>13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78"/>
      <c r="AI3" s="78"/>
      <c r="AJ3" s="78"/>
      <c r="AK3" s="32"/>
    </row>
    <row r="4" spans="1:37" ht="15" customHeight="1" x14ac:dyDescent="0.2">
      <c r="A4" s="27"/>
      <c r="B4" s="78"/>
      <c r="C4" s="78"/>
      <c r="D4" s="78"/>
      <c r="E4" s="78"/>
      <c r="F4" s="2"/>
      <c r="G4" s="87" t="s">
        <v>14</v>
      </c>
      <c r="H4" s="78"/>
      <c r="I4" s="78"/>
      <c r="J4" s="78"/>
      <c r="K4" s="29" t="s">
        <v>13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78"/>
      <c r="AI4" s="78"/>
      <c r="AJ4" s="78"/>
      <c r="AK4" s="32"/>
    </row>
    <row r="5" spans="1:37" ht="15" customHeight="1" x14ac:dyDescent="0.2">
      <c r="A5" s="27"/>
      <c r="B5" s="78"/>
      <c r="C5" s="78"/>
      <c r="D5" s="78"/>
      <c r="E5" s="78"/>
      <c r="F5" s="2"/>
      <c r="G5" s="87" t="s">
        <v>15</v>
      </c>
      <c r="H5" s="78"/>
      <c r="I5" s="78"/>
      <c r="J5" s="78"/>
      <c r="K5" s="29" t="s">
        <v>13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78"/>
      <c r="AI5" s="78"/>
      <c r="AJ5" s="78"/>
      <c r="AK5" s="32"/>
    </row>
    <row r="6" spans="1:37" ht="15" customHeight="1" x14ac:dyDescent="0.2">
      <c r="A6" s="27"/>
      <c r="B6" s="78"/>
      <c r="C6" s="78"/>
      <c r="D6" s="78"/>
      <c r="E6" s="78"/>
      <c r="F6" s="2"/>
      <c r="G6" s="87" t="s">
        <v>16</v>
      </c>
      <c r="H6" s="78"/>
      <c r="I6" s="78"/>
      <c r="J6" s="78"/>
      <c r="K6" s="29" t="s">
        <v>13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78"/>
      <c r="AI6" s="78"/>
      <c r="AJ6" s="78"/>
      <c r="AK6" s="32"/>
    </row>
    <row r="7" spans="1:37" ht="15" customHeight="1" x14ac:dyDescent="0.2">
      <c r="A7" s="27"/>
      <c r="B7" s="78"/>
      <c r="C7" s="78"/>
      <c r="D7" s="78"/>
      <c r="E7" s="78"/>
      <c r="F7" s="2"/>
      <c r="G7" s="87" t="s">
        <v>17</v>
      </c>
      <c r="H7" s="78"/>
      <c r="I7" s="78"/>
      <c r="J7" s="78"/>
      <c r="K7" s="29" t="s">
        <v>13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78"/>
      <c r="AI7" s="78"/>
      <c r="AJ7" s="78"/>
      <c r="AK7" s="32"/>
    </row>
    <row r="8" spans="1:37" ht="15" customHeight="1" x14ac:dyDescent="0.2">
      <c r="A8" s="27"/>
      <c r="B8" s="78"/>
      <c r="C8" s="2"/>
      <c r="D8" s="2"/>
      <c r="E8" s="2"/>
      <c r="F8" s="2"/>
      <c r="G8" s="2"/>
      <c r="H8" s="2"/>
      <c r="I8" s="35"/>
      <c r="J8" s="88" t="s">
        <v>18</v>
      </c>
      <c r="K8" s="78"/>
      <c r="L8" s="78"/>
      <c r="M8" s="78"/>
      <c r="N8" s="78"/>
      <c r="O8" s="78"/>
      <c r="P8" s="78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89" t="s">
        <v>19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80"/>
    </row>
    <row r="10" spans="1:37" ht="15" customHeight="1" x14ac:dyDescent="0.2">
      <c r="A10" s="36" t="s">
        <v>20</v>
      </c>
      <c r="B10" s="36" t="s">
        <v>21</v>
      </c>
      <c r="C10" s="36" t="s">
        <v>22</v>
      </c>
      <c r="D10" s="36" t="s">
        <v>23</v>
      </c>
      <c r="E10" s="36" t="s">
        <v>24</v>
      </c>
      <c r="F10" s="36" t="s">
        <v>25</v>
      </c>
      <c r="G10" s="36" t="s">
        <v>26</v>
      </c>
      <c r="H10" s="36" t="s">
        <v>27</v>
      </c>
      <c r="I10" s="36" t="s">
        <v>28</v>
      </c>
      <c r="J10" s="36" t="s">
        <v>29</v>
      </c>
      <c r="K10" s="36" t="s">
        <v>30</v>
      </c>
      <c r="L10" s="36" t="s">
        <v>31</v>
      </c>
      <c r="M10" s="36" t="s">
        <v>32</v>
      </c>
      <c r="N10" s="36" t="s">
        <v>33</v>
      </c>
      <c r="O10" s="36" t="s">
        <v>34</v>
      </c>
      <c r="P10" s="36" t="s">
        <v>35</v>
      </c>
      <c r="Q10" s="36" t="s">
        <v>36</v>
      </c>
      <c r="R10" s="36" t="s">
        <v>37</v>
      </c>
      <c r="S10" s="36" t="s">
        <v>38</v>
      </c>
      <c r="T10" s="36" t="s">
        <v>39</v>
      </c>
      <c r="U10" s="36" t="s">
        <v>40</v>
      </c>
      <c r="V10" s="36" t="s">
        <v>41</v>
      </c>
      <c r="W10" s="36" t="s">
        <v>42</v>
      </c>
      <c r="X10" s="36" t="s">
        <v>43</v>
      </c>
      <c r="Y10" s="36" t="s">
        <v>44</v>
      </c>
      <c r="Z10" s="36" t="s">
        <v>45</v>
      </c>
      <c r="AA10" s="36" t="s">
        <v>46</v>
      </c>
      <c r="AB10" s="36" t="s">
        <v>47</v>
      </c>
      <c r="AC10" s="36" t="s">
        <v>48</v>
      </c>
      <c r="AD10" s="36" t="s">
        <v>49</v>
      </c>
      <c r="AE10" s="36" t="s">
        <v>50</v>
      </c>
      <c r="AF10" s="36" t="s">
        <v>51</v>
      </c>
      <c r="AG10" s="36" t="s">
        <v>52</v>
      </c>
      <c r="AH10" s="36" t="s">
        <v>53</v>
      </c>
      <c r="AI10" s="36" t="s">
        <v>54</v>
      </c>
      <c r="AJ10" s="36" t="s">
        <v>55</v>
      </c>
      <c r="AK10" s="36" t="s">
        <v>56</v>
      </c>
    </row>
    <row r="11" spans="1:37" ht="15" customHeight="1" x14ac:dyDescent="0.2">
      <c r="A11" s="37" t="s">
        <v>57</v>
      </c>
      <c r="B11" s="38" t="s">
        <v>58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59</v>
      </c>
      <c r="B12" s="41" t="s">
        <v>60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61</v>
      </c>
      <c r="B13" s="41" t="s">
        <v>62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63</v>
      </c>
      <c r="B14" s="41" t="s">
        <v>64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65</v>
      </c>
      <c r="B15" s="41" t="s">
        <v>66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67</v>
      </c>
      <c r="B16" s="41" t="s">
        <v>68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710</v>
      </c>
      <c r="B17" s="41" t="s">
        <v>711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712</v>
      </c>
      <c r="B18" s="41" t="s">
        <v>711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69</v>
      </c>
      <c r="B19" s="41" t="s">
        <v>70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71</v>
      </c>
      <c r="B20" s="41" t="s">
        <v>72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73</v>
      </c>
      <c r="B21" s="41" t="s">
        <v>74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75</v>
      </c>
      <c r="B22" s="41" t="s">
        <v>76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77</v>
      </c>
      <c r="B23" s="41" t="s">
        <v>78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713</v>
      </c>
      <c r="B24" s="41" t="s">
        <v>714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79</v>
      </c>
      <c r="B25" s="41" t="s">
        <v>80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81</v>
      </c>
      <c r="B26" s="41" t="s">
        <v>82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83</v>
      </c>
      <c r="B27" s="41" t="s">
        <v>84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85</v>
      </c>
      <c r="B28" s="41" t="s">
        <v>86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87</v>
      </c>
      <c r="B29" s="41" t="s">
        <v>88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89</v>
      </c>
      <c r="B30" s="41" t="s">
        <v>90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91</v>
      </c>
      <c r="B31" s="41" t="s">
        <v>92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93</v>
      </c>
      <c r="B32" s="41" t="s">
        <v>94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95</v>
      </c>
      <c r="B33" s="41" t="s">
        <v>96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97</v>
      </c>
      <c r="B34" s="41" t="s">
        <v>98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99</v>
      </c>
      <c r="B35" s="41" t="s">
        <v>100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101</v>
      </c>
      <c r="B36" s="41" t="s">
        <v>102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103</v>
      </c>
      <c r="B37" s="41" t="s">
        <v>104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105</v>
      </c>
      <c r="B38" s="41" t="s">
        <v>106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107</v>
      </c>
      <c r="B39" s="41" t="s">
        <v>108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109</v>
      </c>
      <c r="B40" s="41" t="s">
        <v>110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111</v>
      </c>
      <c r="B41" s="41" t="s">
        <v>112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113</v>
      </c>
      <c r="B42" s="41" t="s">
        <v>114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115</v>
      </c>
      <c r="B43" s="41" t="s">
        <v>116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117</v>
      </c>
      <c r="B44" s="41" t="s">
        <v>118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119</v>
      </c>
      <c r="B45" s="41" t="s">
        <v>120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715</v>
      </c>
      <c r="B46" s="41" t="s">
        <v>716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121</v>
      </c>
      <c r="B47" s="41" t="s">
        <v>122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123</v>
      </c>
      <c r="B48" s="41" t="s">
        <v>124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125</v>
      </c>
      <c r="B49" s="41" t="s">
        <v>126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127</v>
      </c>
      <c r="B50" s="41" t="s">
        <v>128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129</v>
      </c>
      <c r="B51" s="41" t="s">
        <v>130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717</v>
      </c>
      <c r="B52" s="41" t="s">
        <v>718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131</v>
      </c>
      <c r="B53" s="41" t="s">
        <v>132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719</v>
      </c>
      <c r="B54" s="41" t="s">
        <v>720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137</v>
      </c>
      <c r="B55" s="41" t="s">
        <v>721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139</v>
      </c>
      <c r="B56" s="41" t="s">
        <v>140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141</v>
      </c>
      <c r="B57" s="41" t="s">
        <v>142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143</v>
      </c>
      <c r="B58" s="41" t="s">
        <v>144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145</v>
      </c>
      <c r="B59" s="41" t="s">
        <v>146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147</v>
      </c>
      <c r="B60" s="41" t="s">
        <v>148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149</v>
      </c>
      <c r="B61" s="41" t="s">
        <v>150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151</v>
      </c>
      <c r="B62" s="41" t="s">
        <v>152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153</v>
      </c>
      <c r="B63" s="41" t="s">
        <v>154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155</v>
      </c>
      <c r="B64" s="41" t="s">
        <v>156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157</v>
      </c>
      <c r="B65" s="41" t="s">
        <v>158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159</v>
      </c>
      <c r="B66" s="41" t="s">
        <v>160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161</v>
      </c>
      <c r="B67" s="41" t="s">
        <v>162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163</v>
      </c>
      <c r="B68" s="41" t="s">
        <v>164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165</v>
      </c>
      <c r="B69" s="41" t="s">
        <v>166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167</v>
      </c>
      <c r="B70" s="41" t="s">
        <v>168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169</v>
      </c>
      <c r="B71" s="41" t="s">
        <v>170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171</v>
      </c>
      <c r="B72" s="41" t="s">
        <v>172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173</v>
      </c>
      <c r="B73" s="41" t="s">
        <v>174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175</v>
      </c>
      <c r="B74" s="41" t="s">
        <v>176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177</v>
      </c>
      <c r="B75" s="43" t="s">
        <v>178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179</v>
      </c>
      <c r="B76" s="41" t="s">
        <v>180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181</v>
      </c>
      <c r="B77" s="41" t="s">
        <v>182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183</v>
      </c>
      <c r="B78" s="41" t="s">
        <v>184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185</v>
      </c>
      <c r="B79" s="41" t="s">
        <v>186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187</v>
      </c>
      <c r="B80" s="41" t="s">
        <v>188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189</v>
      </c>
      <c r="B81" s="41" t="s">
        <v>190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191</v>
      </c>
      <c r="B82" s="41" t="s">
        <v>192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193</v>
      </c>
      <c r="B83" s="41" t="s">
        <v>194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195</v>
      </c>
      <c r="B84" s="41" t="s">
        <v>196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197</v>
      </c>
      <c r="B85" s="41" t="s">
        <v>198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199</v>
      </c>
      <c r="B86" s="41" t="s">
        <v>200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201</v>
      </c>
      <c r="B87" s="41" t="s">
        <v>202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203</v>
      </c>
      <c r="B88" s="41" t="s">
        <v>204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205</v>
      </c>
      <c r="B89" s="41" t="s">
        <v>206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207</v>
      </c>
      <c r="B90" s="41" t="s">
        <v>208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209</v>
      </c>
      <c r="B91" s="41" t="s">
        <v>210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211</v>
      </c>
      <c r="B92" s="41" t="s">
        <v>212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213</v>
      </c>
      <c r="B93" s="41" t="s">
        <v>214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215</v>
      </c>
      <c r="B94" s="41" t="s">
        <v>216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217</v>
      </c>
      <c r="B95" s="41" t="s">
        <v>218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219</v>
      </c>
      <c r="B96" s="41" t="s">
        <v>220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221</v>
      </c>
      <c r="B97" s="41" t="s">
        <v>222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223</v>
      </c>
      <c r="B98" s="41" t="s">
        <v>224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225</v>
      </c>
      <c r="B99" s="41" t="s">
        <v>226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227</v>
      </c>
      <c r="B100" s="41" t="s">
        <v>228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229</v>
      </c>
      <c r="B101" s="41" t="s">
        <v>230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231</v>
      </c>
      <c r="B102" s="41" t="s">
        <v>232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233</v>
      </c>
      <c r="B103" s="41" t="s">
        <v>234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235</v>
      </c>
      <c r="B104" s="41" t="s">
        <v>236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237</v>
      </c>
      <c r="B105" s="41" t="s">
        <v>238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239</v>
      </c>
      <c r="B106" s="41" t="s">
        <v>240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241</v>
      </c>
      <c r="B107" s="41" t="s">
        <v>242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243</v>
      </c>
      <c r="B108" s="41" t="s">
        <v>244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245</v>
      </c>
      <c r="B109" s="41" t="s">
        <v>246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247</v>
      </c>
      <c r="B110" s="41" t="s">
        <v>248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249</v>
      </c>
      <c r="B111" s="41" t="s">
        <v>250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251</v>
      </c>
      <c r="B112" s="41" t="s">
        <v>252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253</v>
      </c>
      <c r="B113" s="41" t="s">
        <v>254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255</v>
      </c>
      <c r="B114" s="41" t="s">
        <v>256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257</v>
      </c>
      <c r="B115" s="43" t="s">
        <v>258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259</v>
      </c>
      <c r="B116" s="41" t="s">
        <v>260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261</v>
      </c>
      <c r="B117" s="41" t="s">
        <v>262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263</v>
      </c>
      <c r="B118" s="41" t="s">
        <v>264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265</v>
      </c>
      <c r="B119" s="41" t="s">
        <v>266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267</v>
      </c>
      <c r="B120" s="43" t="s">
        <v>268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269</v>
      </c>
      <c r="B121" s="41" t="s">
        <v>270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271</v>
      </c>
      <c r="B122" s="41" t="s">
        <v>272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273</v>
      </c>
      <c r="B123" s="41" t="s">
        <v>274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275</v>
      </c>
      <c r="B124" s="41" t="s">
        <v>276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277</v>
      </c>
      <c r="B125" s="41" t="s">
        <v>278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279</v>
      </c>
      <c r="B126" s="41" t="s">
        <v>280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281</v>
      </c>
      <c r="B127" s="41" t="s">
        <v>282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283</v>
      </c>
      <c r="B128" s="41" t="s">
        <v>284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285</v>
      </c>
      <c r="B129" s="41" t="s">
        <v>286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287</v>
      </c>
      <c r="B130" s="41" t="s">
        <v>288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289</v>
      </c>
      <c r="B131" s="41" t="s">
        <v>290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291</v>
      </c>
      <c r="B132" s="43" t="s">
        <v>292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293</v>
      </c>
      <c r="B133" s="41" t="s">
        <v>294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295</v>
      </c>
      <c r="B134" s="41" t="s">
        <v>296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297</v>
      </c>
      <c r="B135" s="41" t="s">
        <v>298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299</v>
      </c>
      <c r="B136" s="41" t="s">
        <v>300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301</v>
      </c>
      <c r="B137" s="41" t="s">
        <v>302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303</v>
      </c>
      <c r="B138" s="41" t="s">
        <v>304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305</v>
      </c>
      <c r="B139" s="41" t="s">
        <v>306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307</v>
      </c>
      <c r="B140" s="41" t="s">
        <v>308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309</v>
      </c>
      <c r="B141" s="43" t="s">
        <v>310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311</v>
      </c>
      <c r="B142" s="41" t="s">
        <v>312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313</v>
      </c>
      <c r="B143" s="41" t="s">
        <v>314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315</v>
      </c>
      <c r="B144" s="41" t="s">
        <v>316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317</v>
      </c>
      <c r="B145" s="41" t="s">
        <v>318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319</v>
      </c>
      <c r="B146" s="41" t="s">
        <v>320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321</v>
      </c>
      <c r="B147" s="41" t="s">
        <v>322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323</v>
      </c>
      <c r="B148" s="41" t="s">
        <v>324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325</v>
      </c>
      <c r="B149" s="41" t="s">
        <v>326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327</v>
      </c>
      <c r="B150" s="41" t="s">
        <v>328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329</v>
      </c>
      <c r="B151" s="41" t="s">
        <v>330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331</v>
      </c>
      <c r="B152" s="43" t="s">
        <v>332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333</v>
      </c>
      <c r="B153" s="41" t="s">
        <v>334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335</v>
      </c>
      <c r="B154" s="41" t="s">
        <v>336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337</v>
      </c>
      <c r="B155" s="41" t="s">
        <v>338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339</v>
      </c>
      <c r="B156" s="41" t="s">
        <v>340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341</v>
      </c>
      <c r="B157" s="41" t="s">
        <v>342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343</v>
      </c>
      <c r="B158" s="41" t="s">
        <v>344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345</v>
      </c>
      <c r="B159" s="41" t="s">
        <v>346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347</v>
      </c>
      <c r="B160" s="41" t="s">
        <v>348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349</v>
      </c>
      <c r="B161" s="41" t="s">
        <v>350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351</v>
      </c>
      <c r="B162" s="41" t="s">
        <v>352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353</v>
      </c>
      <c r="B163" s="43" t="s">
        <v>354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355</v>
      </c>
      <c r="B164" s="41" t="s">
        <v>356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357</v>
      </c>
      <c r="B165" s="41" t="s">
        <v>358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359</v>
      </c>
      <c r="B166" s="41" t="s">
        <v>360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361</v>
      </c>
      <c r="B167" s="43" t="s">
        <v>362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363</v>
      </c>
      <c r="B168" s="41" t="s">
        <v>364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365</v>
      </c>
      <c r="B169" s="41" t="s">
        <v>366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367</v>
      </c>
      <c r="B170" s="41" t="s">
        <v>368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369</v>
      </c>
      <c r="B171" s="41" t="s">
        <v>370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371</v>
      </c>
      <c r="B172" s="41" t="s">
        <v>372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373</v>
      </c>
      <c r="B173" s="41" t="s">
        <v>374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375</v>
      </c>
      <c r="B174" s="41" t="s">
        <v>376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377</v>
      </c>
      <c r="B175" s="41" t="s">
        <v>378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379</v>
      </c>
      <c r="B176" s="41" t="s">
        <v>380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381</v>
      </c>
      <c r="B177" s="41" t="s">
        <v>382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383</v>
      </c>
      <c r="B178" s="41" t="s">
        <v>384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385</v>
      </c>
      <c r="B179" s="41" t="s">
        <v>386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387</v>
      </c>
      <c r="B180" s="41" t="s">
        <v>388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389</v>
      </c>
      <c r="B181" s="41" t="s">
        <v>390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391</v>
      </c>
      <c r="B182" s="41" t="s">
        <v>392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393</v>
      </c>
      <c r="B183" s="41" t="s">
        <v>394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395</v>
      </c>
      <c r="B184" s="41" t="s">
        <v>396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397</v>
      </c>
      <c r="B185" s="41" t="s">
        <v>398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399</v>
      </c>
      <c r="B186" s="41" t="s">
        <v>400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401</v>
      </c>
      <c r="B187" s="41" t="s">
        <v>402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403</v>
      </c>
      <c r="B188" s="41" t="s">
        <v>404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405</v>
      </c>
      <c r="B189" s="43" t="s">
        <v>406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407</v>
      </c>
      <c r="B190" s="41" t="s">
        <v>408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409</v>
      </c>
      <c r="B191" s="41" t="s">
        <v>410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411</v>
      </c>
      <c r="B192" s="41" t="s">
        <v>412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413</v>
      </c>
      <c r="B193" s="41" t="s">
        <v>414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415</v>
      </c>
      <c r="B194" s="41" t="s">
        <v>416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417</v>
      </c>
      <c r="B195" s="41" t="s">
        <v>418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419</v>
      </c>
      <c r="B196" s="41" t="s">
        <v>420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421</v>
      </c>
      <c r="B197" s="41" t="s">
        <v>422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423</v>
      </c>
      <c r="B198" s="41" t="s">
        <v>424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425</v>
      </c>
      <c r="B199" s="41" t="s">
        <v>426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722</v>
      </c>
      <c r="B200" s="41" t="s">
        <v>723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724</v>
      </c>
      <c r="B201" s="41" t="s">
        <v>725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726</v>
      </c>
      <c r="B202" s="41" t="s">
        <v>727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429</v>
      </c>
      <c r="B203" s="41" t="s">
        <v>430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431</v>
      </c>
      <c r="B204" s="41" t="s">
        <v>432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433</v>
      </c>
      <c r="B205" s="41" t="s">
        <v>434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728</v>
      </c>
      <c r="B206" s="41" t="s">
        <v>729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435</v>
      </c>
      <c r="B207" s="41" t="s">
        <v>436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437</v>
      </c>
      <c r="B208" s="43" t="s">
        <v>438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439</v>
      </c>
      <c r="B209" s="41" t="s">
        <v>440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441</v>
      </c>
      <c r="B210" s="41" t="s">
        <v>442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443</v>
      </c>
      <c r="B211" s="41" t="s">
        <v>444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445</v>
      </c>
      <c r="B212" s="41" t="s">
        <v>446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447</v>
      </c>
      <c r="B213" s="41" t="s">
        <v>448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449</v>
      </c>
      <c r="B214" s="41" t="s">
        <v>450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451</v>
      </c>
      <c r="B215" s="41" t="s">
        <v>452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453</v>
      </c>
      <c r="B216" s="41" t="s">
        <v>454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455</v>
      </c>
      <c r="B217" s="41" t="s">
        <v>456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457</v>
      </c>
      <c r="B218" s="41" t="s">
        <v>458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459</v>
      </c>
      <c r="B219" s="41" t="s">
        <v>460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461</v>
      </c>
      <c r="B220" s="41" t="s">
        <v>462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463</v>
      </c>
      <c r="B221" s="41" t="s">
        <v>464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465</v>
      </c>
      <c r="B222" s="41" t="s">
        <v>466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467</v>
      </c>
      <c r="B223" s="41" t="s">
        <v>468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469</v>
      </c>
      <c r="B224" s="41" t="s">
        <v>470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471</v>
      </c>
      <c r="B225" s="41" t="s">
        <v>472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473</v>
      </c>
      <c r="B226" s="41" t="s">
        <v>474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475</v>
      </c>
      <c r="B227" s="41" t="s">
        <v>476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477</v>
      </c>
      <c r="B228" s="43" t="s">
        <v>478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479</v>
      </c>
      <c r="B229" s="41" t="s">
        <v>480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481</v>
      </c>
      <c r="B230" s="41" t="s">
        <v>482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483</v>
      </c>
      <c r="B231" s="43" t="s">
        <v>484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485</v>
      </c>
      <c r="B232" s="41" t="s">
        <v>486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487</v>
      </c>
      <c r="B233" s="41" t="s">
        <v>488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489</v>
      </c>
      <c r="B234" s="41" t="s">
        <v>490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491</v>
      </c>
      <c r="B235" s="41" t="s">
        <v>492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493</v>
      </c>
      <c r="B236" s="41" t="s">
        <v>494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495</v>
      </c>
      <c r="B237" s="41" t="s">
        <v>496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497</v>
      </c>
      <c r="B238" s="41" t="s">
        <v>498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499</v>
      </c>
      <c r="B239" s="41" t="s">
        <v>500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501</v>
      </c>
      <c r="B240" s="41" t="s">
        <v>502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503</v>
      </c>
      <c r="B241" s="41" t="s">
        <v>504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505</v>
      </c>
      <c r="B242" s="41" t="s">
        <v>506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507</v>
      </c>
      <c r="B243" s="43" t="s">
        <v>508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509</v>
      </c>
      <c r="B244" s="41" t="s">
        <v>510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511</v>
      </c>
      <c r="B245" s="41" t="s">
        <v>512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513</v>
      </c>
      <c r="B246" s="41" t="s">
        <v>514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515</v>
      </c>
      <c r="B247" s="41" t="s">
        <v>516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517</v>
      </c>
      <c r="B248" s="41" t="s">
        <v>518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519</v>
      </c>
      <c r="B249" s="41" t="s">
        <v>520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521</v>
      </c>
      <c r="B250" s="41" t="s">
        <v>522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730</v>
      </c>
      <c r="B251" s="41" t="s">
        <v>731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523</v>
      </c>
      <c r="B252" s="41" t="s">
        <v>524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525</v>
      </c>
      <c r="B253" s="41" t="s">
        <v>526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527</v>
      </c>
      <c r="B254" s="41" t="s">
        <v>528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529</v>
      </c>
      <c r="B255" s="41" t="s">
        <v>530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531</v>
      </c>
      <c r="B256" s="41" t="s">
        <v>532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533</v>
      </c>
      <c r="B257" s="41" t="s">
        <v>534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535</v>
      </c>
      <c r="B258" s="41" t="s">
        <v>536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537</v>
      </c>
      <c r="B259" s="41" t="s">
        <v>538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539</v>
      </c>
      <c r="B260" s="41" t="s">
        <v>540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541</v>
      </c>
      <c r="B261" s="41" t="s">
        <v>542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543</v>
      </c>
      <c r="B262" s="41" t="s">
        <v>544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545</v>
      </c>
      <c r="B263" s="41" t="s">
        <v>546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547</v>
      </c>
      <c r="B264" s="41" t="s">
        <v>548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549</v>
      </c>
      <c r="B265" s="41" t="s">
        <v>550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551</v>
      </c>
      <c r="B266" s="41" t="s">
        <v>552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553</v>
      </c>
      <c r="B267" s="41" t="s">
        <v>554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555</v>
      </c>
      <c r="B268" s="43" t="s">
        <v>556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557</v>
      </c>
      <c r="B269" s="41" t="s">
        <v>558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559</v>
      </c>
      <c r="B270" s="41" t="s">
        <v>560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561</v>
      </c>
      <c r="B271" s="41" t="s">
        <v>562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563</v>
      </c>
      <c r="B272" s="41" t="s">
        <v>564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565</v>
      </c>
      <c r="B273" s="41" t="s">
        <v>566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567</v>
      </c>
      <c r="B274" s="41" t="s">
        <v>568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569</v>
      </c>
      <c r="B275" s="41" t="s">
        <v>570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571</v>
      </c>
      <c r="B276" s="41" t="s">
        <v>572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573</v>
      </c>
      <c r="B277" s="41" t="s">
        <v>574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575</v>
      </c>
      <c r="B278" s="41" t="s">
        <v>576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577</v>
      </c>
      <c r="B279" s="41" t="s">
        <v>578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579</v>
      </c>
      <c r="B280" s="43" t="s">
        <v>580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581</v>
      </c>
      <c r="B281" s="41" t="s">
        <v>582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583</v>
      </c>
      <c r="B282" s="41" t="s">
        <v>584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585</v>
      </c>
      <c r="B283" s="41" t="s">
        <v>586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587</v>
      </c>
      <c r="B284" s="41" t="s">
        <v>588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589</v>
      </c>
      <c r="B285" s="41" t="s">
        <v>590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591</v>
      </c>
      <c r="B286" s="41" t="s">
        <v>592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593</v>
      </c>
      <c r="B287" s="41" t="s">
        <v>594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595</v>
      </c>
      <c r="B288" s="41" t="s">
        <v>596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597</v>
      </c>
      <c r="B289" s="41" t="s">
        <v>598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599</v>
      </c>
      <c r="B290" s="43" t="s">
        <v>600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601</v>
      </c>
      <c r="B291" s="41" t="s">
        <v>602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603</v>
      </c>
      <c r="B292" s="41" t="s">
        <v>604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605</v>
      </c>
      <c r="B293" s="41" t="s">
        <v>606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607</v>
      </c>
      <c r="B294" s="41" t="s">
        <v>608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609</v>
      </c>
      <c r="B295" s="41" t="s">
        <v>610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611</v>
      </c>
      <c r="B296" s="41" t="s">
        <v>612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613</v>
      </c>
      <c r="B297" s="41" t="s">
        <v>614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615</v>
      </c>
      <c r="B298" s="41" t="s">
        <v>616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617</v>
      </c>
      <c r="B299" s="41" t="s">
        <v>618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619</v>
      </c>
      <c r="B300" s="41" t="s">
        <v>620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621</v>
      </c>
      <c r="B301" s="41" t="s">
        <v>622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623</v>
      </c>
      <c r="B302" s="41" t="s">
        <v>624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625</v>
      </c>
      <c r="B303" s="41" t="s">
        <v>626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627</v>
      </c>
      <c r="B304" s="41" t="s">
        <v>628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629</v>
      </c>
      <c r="B305" s="41" t="s">
        <v>630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631</v>
      </c>
      <c r="B306" s="41" t="s">
        <v>632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633</v>
      </c>
      <c r="B307" s="41" t="s">
        <v>634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635</v>
      </c>
      <c r="B308" s="45" t="s">
        <v>636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637</v>
      </c>
      <c r="B309" s="47" t="s">
        <v>638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639</v>
      </c>
      <c r="B310" s="47" t="s">
        <v>640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641</v>
      </c>
      <c r="B311" s="47" t="s">
        <v>642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643</v>
      </c>
      <c r="B312" s="47" t="s">
        <v>644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645</v>
      </c>
      <c r="B313" s="47" t="s">
        <v>646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647</v>
      </c>
      <c r="B314" s="47" t="s">
        <v>648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649</v>
      </c>
      <c r="B315" s="47" t="s">
        <v>650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651</v>
      </c>
      <c r="B316" s="47" t="s">
        <v>652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653</v>
      </c>
      <c r="B317" s="47" t="s">
        <v>654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655</v>
      </c>
      <c r="B318" s="47" t="s">
        <v>656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657</v>
      </c>
      <c r="B319" s="47" t="s">
        <v>658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732</v>
      </c>
      <c r="B320" s="47" t="s">
        <v>733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659</v>
      </c>
      <c r="B321" s="47" t="s">
        <v>660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661</v>
      </c>
      <c r="B322" s="47" t="s">
        <v>662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663</v>
      </c>
      <c r="B323" s="47" t="s">
        <v>664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665</v>
      </c>
      <c r="B324" s="47" t="s">
        <v>666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667</v>
      </c>
      <c r="B325" s="47" t="s">
        <v>668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669</v>
      </c>
      <c r="B326" s="47" t="s">
        <v>670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671</v>
      </c>
      <c r="B327" s="47" t="s">
        <v>672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673</v>
      </c>
      <c r="B328" s="47" t="s">
        <v>674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675</v>
      </c>
      <c r="B329" s="45" t="s">
        <v>676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677</v>
      </c>
      <c r="B330" s="47" t="s">
        <v>678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679</v>
      </c>
      <c r="B331" s="47" t="s">
        <v>680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681</v>
      </c>
      <c r="B332" s="47" t="s">
        <v>682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683</v>
      </c>
      <c r="B333" s="47" t="s">
        <v>684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685</v>
      </c>
      <c r="B334" s="47" t="s">
        <v>686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687</v>
      </c>
      <c r="B335" s="47" t="s">
        <v>688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689</v>
      </c>
      <c r="B336" s="47" t="s">
        <v>690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691</v>
      </c>
      <c r="B337" s="47" t="s">
        <v>692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693</v>
      </c>
      <c r="B338" s="47" t="s">
        <v>694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695</v>
      </c>
      <c r="B339" s="45" t="s">
        <v>696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697</v>
      </c>
      <c r="B340" s="47" t="s">
        <v>698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699</v>
      </c>
      <c r="B341" s="47" t="s">
        <v>700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701</v>
      </c>
      <c r="B342" s="47" t="s">
        <v>702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703</v>
      </c>
      <c r="B343" s="47" t="s">
        <v>704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705</v>
      </c>
      <c r="B344" s="47" t="s">
        <v>706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707</v>
      </c>
      <c r="B345" s="47" t="s">
        <v>708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32"/>
  <sheetViews>
    <sheetView tabSelected="1" zoomScale="81" zoomScaleNormal="81" workbookViewId="0">
      <selection activeCell="AA7" sqref="AA7"/>
    </sheetView>
  </sheetViews>
  <sheetFormatPr defaultColWidth="12.7109375" defaultRowHeight="15" customHeight="1" outlineLevelRow="1" x14ac:dyDescent="0.2"/>
  <cols>
    <col min="1" max="1" width="28" customWidth="1"/>
    <col min="2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146"/>
      <c r="B1" s="3"/>
      <c r="C1" s="3"/>
      <c r="D1" s="147"/>
      <c r="E1" s="147"/>
      <c r="F1" s="147"/>
      <c r="G1" s="74"/>
      <c r="H1" s="3"/>
      <c r="I1" s="3"/>
      <c r="J1" s="74"/>
      <c r="K1" s="3"/>
      <c r="L1" s="3"/>
      <c r="M1" s="3"/>
      <c r="N1" s="3"/>
      <c r="O1" s="3"/>
      <c r="P1" s="3"/>
      <c r="Q1" s="3"/>
      <c r="R1" s="3"/>
      <c r="S1" s="3"/>
      <c r="T1" s="3"/>
      <c r="U1" s="128" t="s">
        <v>793</v>
      </c>
      <c r="V1" s="129"/>
      <c r="W1" s="129"/>
      <c r="X1" s="129"/>
      <c r="Y1" s="129"/>
    </row>
    <row r="2" spans="1:25" ht="15.75" customHeight="1" x14ac:dyDescent="0.2">
      <c r="A2" s="99"/>
      <c r="B2" s="3"/>
      <c r="C2" s="3"/>
      <c r="D2" s="148" t="s">
        <v>794</v>
      </c>
      <c r="E2" s="148"/>
      <c r="F2" s="148"/>
      <c r="G2" s="74"/>
      <c r="H2" s="74" t="s">
        <v>795</v>
      </c>
      <c r="I2" s="74"/>
      <c r="J2" s="149"/>
      <c r="K2" s="74"/>
      <c r="L2" s="74"/>
      <c r="M2" s="74"/>
      <c r="N2" s="74"/>
      <c r="O2" s="74"/>
      <c r="P2" s="74"/>
      <c r="Q2" s="74"/>
      <c r="R2" s="74"/>
      <c r="S2" s="3"/>
      <c r="T2" s="3"/>
      <c r="U2" s="129"/>
      <c r="V2" s="129"/>
      <c r="W2" s="129"/>
      <c r="X2" s="129"/>
      <c r="Y2" s="129"/>
    </row>
    <row r="3" spans="1:25" ht="15.75" customHeight="1" x14ac:dyDescent="0.2">
      <c r="A3" s="99"/>
      <c r="B3" s="3"/>
      <c r="C3" s="3"/>
      <c r="D3" s="74" t="s">
        <v>796</v>
      </c>
      <c r="E3" s="74"/>
      <c r="F3" s="74"/>
      <c r="G3" s="150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3"/>
      <c r="T3" s="3"/>
      <c r="U3" s="129"/>
      <c r="V3" s="129"/>
      <c r="W3" s="129"/>
      <c r="X3" s="129"/>
      <c r="Y3" s="129"/>
    </row>
    <row r="4" spans="1:25" ht="15.75" customHeight="1" x14ac:dyDescent="0.2">
      <c r="A4" s="99"/>
      <c r="B4" s="3"/>
      <c r="C4" s="3"/>
      <c r="D4" s="74" t="s">
        <v>797</v>
      </c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3"/>
      <c r="T4" s="3"/>
      <c r="U4" s="129"/>
      <c r="V4" s="129"/>
      <c r="W4" s="129"/>
      <c r="X4" s="129"/>
      <c r="Y4" s="129"/>
    </row>
    <row r="5" spans="1:25" ht="15.75" customHeight="1" x14ac:dyDescent="0.2">
      <c r="A5" s="99"/>
      <c r="B5" s="3"/>
      <c r="C5" s="3"/>
      <c r="D5" s="130" t="s">
        <v>787</v>
      </c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3"/>
      <c r="T5" s="3"/>
      <c r="U5" s="129"/>
      <c r="V5" s="129"/>
      <c r="W5" s="129"/>
      <c r="X5" s="129"/>
      <c r="Y5" s="129"/>
    </row>
    <row r="6" spans="1:25" ht="15.75" customHeight="1" x14ac:dyDescent="0.2">
      <c r="A6" s="99"/>
      <c r="B6" s="3"/>
      <c r="C6" s="3"/>
      <c r="D6" s="148" t="s">
        <v>14</v>
      </c>
      <c r="E6" s="148"/>
      <c r="F6" s="148"/>
      <c r="G6" s="151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3"/>
      <c r="T6" s="3"/>
      <c r="U6" s="129"/>
      <c r="V6" s="129"/>
      <c r="W6" s="129"/>
      <c r="X6" s="129"/>
      <c r="Y6" s="129"/>
    </row>
    <row r="7" spans="1:25" ht="15.75" customHeight="1" x14ac:dyDescent="0.2">
      <c r="A7" s="99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129"/>
      <c r="V7" s="129"/>
      <c r="W7" s="129"/>
      <c r="X7" s="129"/>
      <c r="Y7" s="129"/>
    </row>
    <row r="8" spans="1:25" ht="15.75" customHeight="1" outlineLevel="1" x14ac:dyDescent="0.2">
      <c r="A8" s="131" t="s">
        <v>735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2"/>
    </row>
    <row r="9" spans="1:25" ht="15.75" customHeight="1" outlineLevel="1" x14ac:dyDescent="0.2">
      <c r="A9" s="104" t="s">
        <v>7</v>
      </c>
      <c r="B9" s="105" t="s">
        <v>734</v>
      </c>
      <c r="C9" s="106"/>
      <c r="D9" s="107"/>
      <c r="E9" s="108" t="s">
        <v>0</v>
      </c>
      <c r="F9" s="110"/>
      <c r="G9" s="118" t="s">
        <v>8</v>
      </c>
      <c r="H9" s="109"/>
      <c r="I9" s="109"/>
      <c r="J9" s="109"/>
      <c r="K9" s="110"/>
      <c r="L9" s="118" t="s">
        <v>7</v>
      </c>
      <c r="M9" s="109"/>
      <c r="N9" s="109"/>
      <c r="O9" s="109"/>
      <c r="P9" s="110"/>
      <c r="Q9" s="105" t="s">
        <v>734</v>
      </c>
      <c r="R9" s="106"/>
      <c r="S9" s="107"/>
      <c r="T9" s="108" t="s">
        <v>0</v>
      </c>
      <c r="U9" s="110"/>
      <c r="V9" s="118" t="s">
        <v>8</v>
      </c>
      <c r="W9" s="109"/>
      <c r="X9" s="109"/>
      <c r="Y9" s="110"/>
    </row>
    <row r="10" spans="1:25" ht="15.75" customHeight="1" outlineLevel="1" x14ac:dyDescent="0.2">
      <c r="A10" s="103"/>
      <c r="B10" s="53" t="s">
        <v>1</v>
      </c>
      <c r="C10" s="54" t="s">
        <v>2</v>
      </c>
      <c r="D10" s="54" t="s">
        <v>3</v>
      </c>
      <c r="E10" s="100"/>
      <c r="F10" s="102"/>
      <c r="G10" s="100"/>
      <c r="H10" s="101"/>
      <c r="I10" s="101"/>
      <c r="J10" s="101"/>
      <c r="K10" s="102"/>
      <c r="L10" s="100"/>
      <c r="M10" s="101"/>
      <c r="N10" s="101"/>
      <c r="O10" s="101"/>
      <c r="P10" s="102"/>
      <c r="Q10" s="53" t="s">
        <v>1</v>
      </c>
      <c r="R10" s="54" t="s">
        <v>2</v>
      </c>
      <c r="S10" s="54" t="s">
        <v>3</v>
      </c>
      <c r="T10" s="100"/>
      <c r="U10" s="102"/>
      <c r="V10" s="100"/>
      <c r="W10" s="101"/>
      <c r="X10" s="101"/>
      <c r="Y10" s="102"/>
    </row>
    <row r="11" spans="1:25" ht="15.75" customHeight="1" outlineLevel="1" x14ac:dyDescent="0.2">
      <c r="A11" s="96" t="s">
        <v>4</v>
      </c>
      <c r="B11" s="97"/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116"/>
    </row>
    <row r="12" spans="1:25" ht="40.15" customHeight="1" outlineLevel="1" x14ac:dyDescent="0.2">
      <c r="A12" s="55" t="s">
        <v>736</v>
      </c>
      <c r="B12" s="51"/>
      <c r="C12" s="51"/>
      <c r="D12" s="51"/>
      <c r="E12" s="132">
        <f t="shared" ref="E12:E24" si="0">SUM(B12:D12)</f>
        <v>0</v>
      </c>
      <c r="F12" s="95"/>
      <c r="G12" s="93"/>
      <c r="H12" s="94"/>
      <c r="I12" s="94"/>
      <c r="J12" s="94"/>
      <c r="K12" s="95"/>
      <c r="L12" s="98" t="s">
        <v>737</v>
      </c>
      <c r="M12" s="94"/>
      <c r="N12" s="94"/>
      <c r="O12" s="94"/>
      <c r="P12" s="95"/>
      <c r="Q12" s="51"/>
      <c r="R12" s="51"/>
      <c r="S12" s="51"/>
      <c r="T12" s="120">
        <f t="shared" ref="T12:T22" si="1">SUM(Q12:S12)</f>
        <v>0</v>
      </c>
      <c r="U12" s="95"/>
      <c r="V12" s="93"/>
      <c r="W12" s="94"/>
      <c r="X12" s="94"/>
      <c r="Y12" s="95"/>
    </row>
    <row r="13" spans="1:25" ht="41.45" customHeight="1" outlineLevel="1" x14ac:dyDescent="0.2">
      <c r="A13" s="56" t="s">
        <v>779</v>
      </c>
      <c r="B13" s="57">
        <f t="shared" ref="B13:D13" si="2">SUM(B14:B15)</f>
        <v>0</v>
      </c>
      <c r="C13" s="57">
        <f t="shared" si="2"/>
        <v>0</v>
      </c>
      <c r="D13" s="57">
        <f t="shared" si="2"/>
        <v>0</v>
      </c>
      <c r="E13" s="120">
        <f t="shared" si="0"/>
        <v>0</v>
      </c>
      <c r="F13" s="95"/>
      <c r="G13" s="93"/>
      <c r="H13" s="94"/>
      <c r="I13" s="94"/>
      <c r="J13" s="94"/>
      <c r="K13" s="95"/>
      <c r="L13" s="98" t="s">
        <v>738</v>
      </c>
      <c r="M13" s="94"/>
      <c r="N13" s="94"/>
      <c r="O13" s="94"/>
      <c r="P13" s="95"/>
      <c r="Q13" s="51"/>
      <c r="R13" s="51"/>
      <c r="S13" s="51"/>
      <c r="T13" s="120">
        <f t="shared" si="1"/>
        <v>0</v>
      </c>
      <c r="U13" s="95"/>
      <c r="V13" s="93"/>
      <c r="W13" s="94"/>
      <c r="X13" s="94"/>
      <c r="Y13" s="95"/>
    </row>
    <row r="14" spans="1:25" ht="41.45" customHeight="1" outlineLevel="1" x14ac:dyDescent="0.2">
      <c r="A14" s="50" t="s">
        <v>739</v>
      </c>
      <c r="B14" s="51"/>
      <c r="C14" s="51"/>
      <c r="D14" s="51"/>
      <c r="E14" s="120">
        <f t="shared" si="0"/>
        <v>0</v>
      </c>
      <c r="F14" s="95"/>
      <c r="G14" s="93"/>
      <c r="H14" s="94"/>
      <c r="I14" s="94"/>
      <c r="J14" s="94"/>
      <c r="K14" s="95"/>
      <c r="L14" s="98" t="s">
        <v>740</v>
      </c>
      <c r="M14" s="94"/>
      <c r="N14" s="94"/>
      <c r="O14" s="94"/>
      <c r="P14" s="95"/>
      <c r="Q14" s="51"/>
      <c r="R14" s="51"/>
      <c r="S14" s="51"/>
      <c r="T14" s="120">
        <f t="shared" si="1"/>
        <v>0</v>
      </c>
      <c r="U14" s="95"/>
      <c r="V14" s="93"/>
      <c r="W14" s="94"/>
      <c r="X14" s="94"/>
      <c r="Y14" s="95"/>
    </row>
    <row r="15" spans="1:25" ht="45.6" customHeight="1" outlineLevel="1" x14ac:dyDescent="0.2">
      <c r="A15" s="50" t="s">
        <v>741</v>
      </c>
      <c r="B15" s="51"/>
      <c r="C15" s="51"/>
      <c r="D15" s="51"/>
      <c r="E15" s="120">
        <f t="shared" si="0"/>
        <v>0</v>
      </c>
      <c r="F15" s="95"/>
      <c r="G15" s="93"/>
      <c r="H15" s="94"/>
      <c r="I15" s="94"/>
      <c r="J15" s="94"/>
      <c r="K15" s="95"/>
      <c r="L15" s="98" t="s">
        <v>742</v>
      </c>
      <c r="M15" s="94"/>
      <c r="N15" s="94"/>
      <c r="O15" s="94"/>
      <c r="P15" s="95"/>
      <c r="Q15" s="51"/>
      <c r="R15" s="51"/>
      <c r="S15" s="51"/>
      <c r="T15" s="120">
        <f t="shared" si="1"/>
        <v>0</v>
      </c>
      <c r="U15" s="95"/>
      <c r="V15" s="93"/>
      <c r="W15" s="94"/>
      <c r="X15" s="94"/>
      <c r="Y15" s="95"/>
    </row>
    <row r="16" spans="1:25" ht="63.6" customHeight="1" outlineLevel="1" x14ac:dyDescent="0.2">
      <c r="A16" s="56" t="s">
        <v>780</v>
      </c>
      <c r="B16" s="57">
        <f t="shared" ref="B16:D16" si="3">SUM(B17:B18)-B19</f>
        <v>0</v>
      </c>
      <c r="C16" s="57">
        <f t="shared" si="3"/>
        <v>0</v>
      </c>
      <c r="D16" s="57">
        <f t="shared" si="3"/>
        <v>0</v>
      </c>
      <c r="E16" s="120">
        <f t="shared" si="0"/>
        <v>0</v>
      </c>
      <c r="F16" s="95"/>
      <c r="G16" s="93"/>
      <c r="H16" s="94"/>
      <c r="I16" s="94"/>
      <c r="J16" s="94"/>
      <c r="K16" s="95"/>
      <c r="L16" s="98" t="s">
        <v>743</v>
      </c>
      <c r="M16" s="94"/>
      <c r="N16" s="94"/>
      <c r="O16" s="94"/>
      <c r="P16" s="95"/>
      <c r="Q16" s="51"/>
      <c r="R16" s="51"/>
      <c r="S16" s="51"/>
      <c r="T16" s="120">
        <f t="shared" si="1"/>
        <v>0</v>
      </c>
      <c r="U16" s="95"/>
      <c r="V16" s="93"/>
      <c r="W16" s="94"/>
      <c r="X16" s="94"/>
      <c r="Y16" s="95"/>
    </row>
    <row r="17" spans="1:25" ht="41.45" customHeight="1" outlineLevel="1" x14ac:dyDescent="0.2">
      <c r="A17" s="50" t="s">
        <v>744</v>
      </c>
      <c r="B17" s="51"/>
      <c r="C17" s="51"/>
      <c r="D17" s="51"/>
      <c r="E17" s="120">
        <f t="shared" si="0"/>
        <v>0</v>
      </c>
      <c r="F17" s="95"/>
      <c r="G17" s="93"/>
      <c r="H17" s="94"/>
      <c r="I17" s="94"/>
      <c r="J17" s="94"/>
      <c r="K17" s="95"/>
      <c r="L17" s="98" t="s">
        <v>745</v>
      </c>
      <c r="M17" s="94"/>
      <c r="N17" s="94"/>
      <c r="O17" s="94"/>
      <c r="P17" s="95"/>
      <c r="Q17" s="51"/>
      <c r="R17" s="51"/>
      <c r="S17" s="51"/>
      <c r="T17" s="120">
        <f t="shared" si="1"/>
        <v>0</v>
      </c>
      <c r="U17" s="95"/>
      <c r="V17" s="93"/>
      <c r="W17" s="94"/>
      <c r="X17" s="94"/>
      <c r="Y17" s="95"/>
    </row>
    <row r="18" spans="1:25" ht="34.9" customHeight="1" outlineLevel="1" x14ac:dyDescent="0.2">
      <c r="A18" s="50" t="s">
        <v>781</v>
      </c>
      <c r="B18" s="51"/>
      <c r="C18" s="51"/>
      <c r="D18" s="51"/>
      <c r="E18" s="120">
        <f t="shared" si="0"/>
        <v>0</v>
      </c>
      <c r="F18" s="95"/>
      <c r="G18" s="93"/>
      <c r="H18" s="94"/>
      <c r="I18" s="94"/>
      <c r="J18" s="94"/>
      <c r="K18" s="95"/>
      <c r="L18" s="98" t="s">
        <v>746</v>
      </c>
      <c r="M18" s="94"/>
      <c r="N18" s="94"/>
      <c r="O18" s="94"/>
      <c r="P18" s="95"/>
      <c r="Q18" s="51"/>
      <c r="R18" s="51"/>
      <c r="S18" s="51"/>
      <c r="T18" s="120">
        <f t="shared" si="1"/>
        <v>0</v>
      </c>
      <c r="U18" s="95"/>
      <c r="V18" s="93"/>
      <c r="W18" s="94"/>
      <c r="X18" s="94"/>
      <c r="Y18" s="95"/>
    </row>
    <row r="19" spans="1:25" ht="31.9" customHeight="1" outlineLevel="1" x14ac:dyDescent="0.2">
      <c r="A19" s="50" t="s">
        <v>782</v>
      </c>
      <c r="B19" s="51"/>
      <c r="C19" s="51"/>
      <c r="D19" s="51"/>
      <c r="E19" s="120">
        <f t="shared" si="0"/>
        <v>0</v>
      </c>
      <c r="F19" s="95"/>
      <c r="G19" s="93"/>
      <c r="H19" s="94"/>
      <c r="I19" s="94"/>
      <c r="J19" s="94"/>
      <c r="K19" s="95"/>
      <c r="L19" s="127" t="s">
        <v>786</v>
      </c>
      <c r="M19" s="94"/>
      <c r="N19" s="94"/>
      <c r="O19" s="94"/>
      <c r="P19" s="95"/>
      <c r="Q19" s="51"/>
      <c r="R19" s="51"/>
      <c r="S19" s="51"/>
      <c r="T19" s="120">
        <f t="shared" si="1"/>
        <v>0</v>
      </c>
      <c r="U19" s="95"/>
      <c r="V19" s="93"/>
      <c r="W19" s="94"/>
      <c r="X19" s="94"/>
      <c r="Y19" s="95"/>
    </row>
    <row r="20" spans="1:25" ht="48" customHeight="1" outlineLevel="1" x14ac:dyDescent="0.2">
      <c r="A20" s="50" t="s">
        <v>747</v>
      </c>
      <c r="B20" s="51"/>
      <c r="C20" s="51"/>
      <c r="D20" s="51"/>
      <c r="E20" s="120">
        <f t="shared" si="0"/>
        <v>0</v>
      </c>
      <c r="F20" s="95"/>
      <c r="G20" s="93"/>
      <c r="H20" s="94"/>
      <c r="I20" s="94"/>
      <c r="J20" s="94"/>
      <c r="K20" s="95"/>
      <c r="L20" s="98" t="s">
        <v>748</v>
      </c>
      <c r="M20" s="94"/>
      <c r="N20" s="94"/>
      <c r="O20" s="94"/>
      <c r="P20" s="95"/>
      <c r="Q20" s="51"/>
      <c r="R20" s="51"/>
      <c r="S20" s="51"/>
      <c r="T20" s="120">
        <f t="shared" si="1"/>
        <v>0</v>
      </c>
      <c r="U20" s="95"/>
      <c r="V20" s="93"/>
      <c r="W20" s="94"/>
      <c r="X20" s="94"/>
      <c r="Y20" s="95"/>
    </row>
    <row r="21" spans="1:25" ht="36" outlineLevel="1" x14ac:dyDescent="0.2">
      <c r="A21" s="50" t="s">
        <v>749</v>
      </c>
      <c r="B21" s="51"/>
      <c r="C21" s="51"/>
      <c r="D21" s="51"/>
      <c r="E21" s="120">
        <f t="shared" si="0"/>
        <v>0</v>
      </c>
      <c r="F21" s="95"/>
      <c r="G21" s="93"/>
      <c r="H21" s="94"/>
      <c r="I21" s="94"/>
      <c r="J21" s="94"/>
      <c r="K21" s="95"/>
      <c r="L21" s="98" t="s">
        <v>750</v>
      </c>
      <c r="M21" s="94"/>
      <c r="N21" s="94"/>
      <c r="O21" s="94"/>
      <c r="P21" s="95"/>
      <c r="Q21" s="51"/>
      <c r="R21" s="51"/>
      <c r="S21" s="51"/>
      <c r="T21" s="120">
        <f t="shared" si="1"/>
        <v>0</v>
      </c>
      <c r="U21" s="95"/>
      <c r="V21" s="93"/>
      <c r="W21" s="94"/>
      <c r="X21" s="94"/>
      <c r="Y21" s="95"/>
    </row>
    <row r="22" spans="1:25" ht="48" customHeight="1" outlineLevel="1" x14ac:dyDescent="0.2">
      <c r="A22" s="50" t="s">
        <v>751</v>
      </c>
      <c r="B22" s="51"/>
      <c r="C22" s="51"/>
      <c r="D22" s="51"/>
      <c r="E22" s="120">
        <f t="shared" si="0"/>
        <v>0</v>
      </c>
      <c r="F22" s="95"/>
      <c r="G22" s="119"/>
      <c r="H22" s="111"/>
      <c r="I22" s="111"/>
      <c r="J22" s="111"/>
      <c r="K22" s="112"/>
      <c r="L22" s="121" t="s">
        <v>752</v>
      </c>
      <c r="M22" s="111"/>
      <c r="N22" s="111"/>
      <c r="O22" s="111"/>
      <c r="P22" s="112"/>
      <c r="Q22" s="58"/>
      <c r="R22" s="58"/>
      <c r="S22" s="58"/>
      <c r="T22" s="123">
        <f t="shared" si="1"/>
        <v>0</v>
      </c>
      <c r="U22" s="112"/>
      <c r="V22" s="119"/>
      <c r="W22" s="111"/>
      <c r="X22" s="111"/>
      <c r="Y22" s="112"/>
    </row>
    <row r="23" spans="1:25" ht="28.15" customHeight="1" outlineLevel="1" x14ac:dyDescent="0.2">
      <c r="A23" s="77" t="s">
        <v>792</v>
      </c>
      <c r="B23" s="58"/>
      <c r="C23" s="58"/>
      <c r="D23" s="58"/>
      <c r="E23" s="72"/>
      <c r="F23" s="69"/>
      <c r="G23" s="70"/>
      <c r="H23" s="68"/>
      <c r="I23" s="68"/>
      <c r="J23" s="68"/>
      <c r="K23" s="69"/>
      <c r="L23" s="71"/>
      <c r="M23" s="68"/>
      <c r="N23" s="68"/>
      <c r="O23" s="68"/>
      <c r="P23" s="68"/>
      <c r="Q23" s="75"/>
      <c r="R23" s="75"/>
      <c r="S23" s="75"/>
      <c r="T23" s="76"/>
      <c r="U23" s="68"/>
      <c r="V23" s="75"/>
      <c r="W23" s="68"/>
      <c r="X23" s="68"/>
      <c r="Y23" s="69"/>
    </row>
    <row r="24" spans="1:25" ht="54.6" customHeight="1" outlineLevel="1" x14ac:dyDescent="0.2">
      <c r="A24" s="59" t="s">
        <v>753</v>
      </c>
      <c r="B24" s="58"/>
      <c r="C24" s="58"/>
      <c r="D24" s="58"/>
      <c r="E24" s="123">
        <f t="shared" si="0"/>
        <v>0</v>
      </c>
      <c r="F24" s="112"/>
      <c r="G24" s="93"/>
      <c r="H24" s="94"/>
      <c r="I24" s="94"/>
      <c r="J24" s="94"/>
      <c r="K24" s="95"/>
      <c r="L24" s="93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5"/>
    </row>
    <row r="25" spans="1:25" ht="15.75" customHeight="1" outlineLevel="1" x14ac:dyDescent="0.2">
      <c r="A25" s="60"/>
      <c r="B25" s="53" t="s">
        <v>1</v>
      </c>
      <c r="C25" s="54" t="s">
        <v>2</v>
      </c>
      <c r="D25" s="54" t="s">
        <v>3</v>
      </c>
      <c r="E25" s="61"/>
      <c r="F25" s="62"/>
      <c r="G25" s="61"/>
      <c r="H25" s="63"/>
      <c r="I25" s="63"/>
      <c r="J25" s="63"/>
      <c r="K25" s="62"/>
      <c r="L25" s="61"/>
      <c r="M25" s="63"/>
      <c r="N25" s="63"/>
      <c r="O25" s="63"/>
      <c r="P25" s="62"/>
      <c r="Q25" s="53" t="s">
        <v>1</v>
      </c>
      <c r="R25" s="54" t="s">
        <v>2</v>
      </c>
      <c r="S25" s="54" t="s">
        <v>3</v>
      </c>
      <c r="T25" s="61"/>
      <c r="U25" s="62"/>
      <c r="V25" s="61"/>
      <c r="W25" s="63"/>
      <c r="X25" s="63"/>
      <c r="Y25" s="62"/>
    </row>
    <row r="26" spans="1:25" ht="25.9" customHeight="1" outlineLevel="1" x14ac:dyDescent="0.2">
      <c r="A26" s="96" t="s">
        <v>5</v>
      </c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116"/>
    </row>
    <row r="27" spans="1:25" ht="15.75" customHeight="1" outlineLevel="1" x14ac:dyDescent="0.2">
      <c r="A27" s="50" t="s">
        <v>754</v>
      </c>
      <c r="B27" s="52"/>
      <c r="C27" s="52"/>
      <c r="D27" s="52"/>
      <c r="E27" s="120">
        <f t="shared" ref="E27:E32" si="4">SUM(B27:D27)</f>
        <v>0</v>
      </c>
      <c r="F27" s="95"/>
      <c r="G27" s="93"/>
      <c r="H27" s="94"/>
      <c r="I27" s="94"/>
      <c r="J27" s="94"/>
      <c r="K27" s="95"/>
      <c r="L27" s="117" t="s">
        <v>755</v>
      </c>
      <c r="M27" s="94"/>
      <c r="N27" s="94"/>
      <c r="O27" s="94"/>
      <c r="P27" s="95"/>
      <c r="Q27" s="57">
        <f t="shared" ref="Q27:S27" si="5">SUM(Q28:Q29)</f>
        <v>0</v>
      </c>
      <c r="R27" s="57">
        <f t="shared" si="5"/>
        <v>0</v>
      </c>
      <c r="S27" s="57">
        <f t="shared" si="5"/>
        <v>0</v>
      </c>
      <c r="T27" s="120">
        <f t="shared" ref="T27:T36" si="6">SUM(Q27:S27)</f>
        <v>0</v>
      </c>
      <c r="U27" s="95"/>
      <c r="V27" s="93"/>
      <c r="W27" s="94"/>
      <c r="X27" s="94"/>
      <c r="Y27" s="95"/>
    </row>
    <row r="28" spans="1:25" ht="15.75" customHeight="1" outlineLevel="1" x14ac:dyDescent="0.2">
      <c r="A28" s="50" t="s">
        <v>756</v>
      </c>
      <c r="B28" s="64">
        <f t="shared" ref="B28:D28" si="7">SUM(B29:B31)</f>
        <v>0</v>
      </c>
      <c r="C28" s="64">
        <f t="shared" si="7"/>
        <v>0</v>
      </c>
      <c r="D28" s="64">
        <f t="shared" si="7"/>
        <v>0</v>
      </c>
      <c r="E28" s="120">
        <f t="shared" si="4"/>
        <v>0</v>
      </c>
      <c r="F28" s="95"/>
      <c r="G28" s="93"/>
      <c r="H28" s="94"/>
      <c r="I28" s="94"/>
      <c r="J28" s="94"/>
      <c r="K28" s="95"/>
      <c r="L28" s="93" t="s">
        <v>757</v>
      </c>
      <c r="M28" s="94"/>
      <c r="N28" s="94"/>
      <c r="O28" s="94"/>
      <c r="P28" s="95"/>
      <c r="Q28" s="51"/>
      <c r="R28" s="51"/>
      <c r="S28" s="51"/>
      <c r="T28" s="120">
        <f t="shared" si="6"/>
        <v>0</v>
      </c>
      <c r="U28" s="95"/>
      <c r="V28" s="93"/>
      <c r="W28" s="94"/>
      <c r="X28" s="94"/>
      <c r="Y28" s="95"/>
    </row>
    <row r="29" spans="1:25" ht="15.75" customHeight="1" outlineLevel="1" x14ac:dyDescent="0.2">
      <c r="A29" s="50" t="s">
        <v>758</v>
      </c>
      <c r="B29" s="51"/>
      <c r="C29" s="51"/>
      <c r="D29" s="51"/>
      <c r="E29" s="120">
        <f t="shared" si="4"/>
        <v>0</v>
      </c>
      <c r="F29" s="95"/>
      <c r="G29" s="93"/>
      <c r="H29" s="94"/>
      <c r="I29" s="94"/>
      <c r="J29" s="94"/>
      <c r="K29" s="95"/>
      <c r="L29" s="93" t="s">
        <v>759</v>
      </c>
      <c r="M29" s="94"/>
      <c r="N29" s="94"/>
      <c r="O29" s="94"/>
      <c r="P29" s="95"/>
      <c r="Q29" s="51"/>
      <c r="R29" s="51"/>
      <c r="S29" s="51"/>
      <c r="T29" s="120">
        <f t="shared" si="6"/>
        <v>0</v>
      </c>
      <c r="U29" s="95"/>
      <c r="V29" s="93"/>
      <c r="W29" s="94"/>
      <c r="X29" s="94"/>
      <c r="Y29" s="95"/>
    </row>
    <row r="30" spans="1:25" ht="15.75" customHeight="1" outlineLevel="1" x14ac:dyDescent="0.2">
      <c r="A30" s="50" t="s">
        <v>760</v>
      </c>
      <c r="B30" s="51"/>
      <c r="C30" s="51"/>
      <c r="D30" s="51"/>
      <c r="E30" s="120">
        <f t="shared" si="4"/>
        <v>0</v>
      </c>
      <c r="F30" s="95"/>
      <c r="G30" s="93"/>
      <c r="H30" s="94"/>
      <c r="I30" s="94"/>
      <c r="J30" s="94"/>
      <c r="K30" s="95"/>
      <c r="L30" s="93" t="s">
        <v>761</v>
      </c>
      <c r="M30" s="94"/>
      <c r="N30" s="94"/>
      <c r="O30" s="94"/>
      <c r="P30" s="95"/>
      <c r="Q30" s="51"/>
      <c r="R30" s="51"/>
      <c r="S30" s="51"/>
      <c r="T30" s="120">
        <f t="shared" si="6"/>
        <v>0</v>
      </c>
      <c r="U30" s="95"/>
      <c r="V30" s="93"/>
      <c r="W30" s="94"/>
      <c r="X30" s="94"/>
      <c r="Y30" s="95"/>
    </row>
    <row r="31" spans="1:25" ht="15.75" customHeight="1" outlineLevel="1" x14ac:dyDescent="0.2">
      <c r="A31" s="50" t="s">
        <v>762</v>
      </c>
      <c r="B31" s="51"/>
      <c r="C31" s="51"/>
      <c r="D31" s="51"/>
      <c r="E31" s="120">
        <f t="shared" si="4"/>
        <v>0</v>
      </c>
      <c r="F31" s="95"/>
      <c r="G31" s="93"/>
      <c r="H31" s="94"/>
      <c r="I31" s="94"/>
      <c r="J31" s="94"/>
      <c r="K31" s="95"/>
      <c r="L31" s="93" t="s">
        <v>763</v>
      </c>
      <c r="M31" s="94"/>
      <c r="N31" s="94"/>
      <c r="O31" s="94"/>
      <c r="P31" s="95"/>
      <c r="Q31" s="51"/>
      <c r="R31" s="51"/>
      <c r="S31" s="51"/>
      <c r="T31" s="120">
        <f t="shared" si="6"/>
        <v>0</v>
      </c>
      <c r="U31" s="95"/>
      <c r="V31" s="93"/>
      <c r="W31" s="94"/>
      <c r="X31" s="94"/>
      <c r="Y31" s="95"/>
    </row>
    <row r="32" spans="1:25" ht="15.75" customHeight="1" outlineLevel="1" x14ac:dyDescent="0.2">
      <c r="A32" s="124" t="s">
        <v>764</v>
      </c>
      <c r="B32" s="126">
        <f>SUM(B34,B35,B36)</f>
        <v>0</v>
      </c>
      <c r="C32" s="126">
        <f t="shared" ref="C32:D32" si="8">SUM(C34,C35,C36)</f>
        <v>0</v>
      </c>
      <c r="D32" s="126">
        <f t="shared" si="8"/>
        <v>0</v>
      </c>
      <c r="E32" s="123">
        <f t="shared" si="4"/>
        <v>0</v>
      </c>
      <c r="F32" s="112"/>
      <c r="G32" s="119"/>
      <c r="H32" s="111"/>
      <c r="I32" s="111"/>
      <c r="J32" s="111"/>
      <c r="K32" s="112"/>
      <c r="L32" s="93" t="s">
        <v>765</v>
      </c>
      <c r="M32" s="94"/>
      <c r="N32" s="94"/>
      <c r="O32" s="94"/>
      <c r="P32" s="95"/>
      <c r="Q32" s="51"/>
      <c r="R32" s="51"/>
      <c r="S32" s="51"/>
      <c r="T32" s="120">
        <f t="shared" si="6"/>
        <v>0</v>
      </c>
      <c r="U32" s="95"/>
      <c r="V32" s="93"/>
      <c r="W32" s="94"/>
      <c r="X32" s="94"/>
      <c r="Y32" s="95"/>
    </row>
    <row r="33" spans="1:25" ht="15.75" customHeight="1" outlineLevel="1" x14ac:dyDescent="0.2">
      <c r="A33" s="125"/>
      <c r="B33" s="125"/>
      <c r="C33" s="125"/>
      <c r="D33" s="125"/>
      <c r="E33" s="115"/>
      <c r="F33" s="116"/>
      <c r="G33" s="115"/>
      <c r="H33" s="97"/>
      <c r="I33" s="97"/>
      <c r="J33" s="97"/>
      <c r="K33" s="116"/>
      <c r="L33" s="93" t="s">
        <v>766</v>
      </c>
      <c r="M33" s="94"/>
      <c r="N33" s="94"/>
      <c r="O33" s="94"/>
      <c r="P33" s="95"/>
      <c r="Q33" s="51"/>
      <c r="R33" s="51"/>
      <c r="S33" s="51"/>
      <c r="T33" s="120">
        <f t="shared" si="6"/>
        <v>0</v>
      </c>
      <c r="U33" s="95"/>
      <c r="V33" s="93"/>
      <c r="W33" s="94"/>
      <c r="X33" s="94"/>
      <c r="Y33" s="95"/>
    </row>
    <row r="34" spans="1:25" ht="15.75" customHeight="1" outlineLevel="1" x14ac:dyDescent="0.2">
      <c r="A34" s="50" t="s">
        <v>767</v>
      </c>
      <c r="B34" s="51"/>
      <c r="C34" s="51"/>
      <c r="D34" s="51"/>
      <c r="E34" s="120">
        <f t="shared" ref="E34:E36" si="9">SUM(B34:D34)</f>
        <v>0</v>
      </c>
      <c r="F34" s="95"/>
      <c r="G34" s="93"/>
      <c r="H34" s="94"/>
      <c r="I34" s="94"/>
      <c r="J34" s="94"/>
      <c r="K34" s="95"/>
      <c r="L34" s="93" t="s">
        <v>768</v>
      </c>
      <c r="M34" s="94"/>
      <c r="N34" s="94"/>
      <c r="O34" s="94"/>
      <c r="P34" s="95"/>
      <c r="Q34" s="51"/>
      <c r="R34" s="51"/>
      <c r="S34" s="51"/>
      <c r="T34" s="120">
        <f t="shared" si="6"/>
        <v>0</v>
      </c>
      <c r="U34" s="95"/>
      <c r="V34" s="93"/>
      <c r="W34" s="94"/>
      <c r="X34" s="94"/>
      <c r="Y34" s="95"/>
    </row>
    <row r="35" spans="1:25" ht="15.75" customHeight="1" outlineLevel="1" x14ac:dyDescent="0.2">
      <c r="A35" s="50" t="s">
        <v>769</v>
      </c>
      <c r="B35" s="51"/>
      <c r="C35" s="51"/>
      <c r="D35" s="51"/>
      <c r="E35" s="120">
        <f t="shared" si="9"/>
        <v>0</v>
      </c>
      <c r="F35" s="95"/>
      <c r="G35" s="93"/>
      <c r="H35" s="94"/>
      <c r="I35" s="94"/>
      <c r="J35" s="94"/>
      <c r="K35" s="95"/>
      <c r="L35" s="93" t="s">
        <v>770</v>
      </c>
      <c r="M35" s="94"/>
      <c r="N35" s="94"/>
      <c r="O35" s="94"/>
      <c r="P35" s="95"/>
      <c r="Q35" s="51"/>
      <c r="R35" s="51"/>
      <c r="S35" s="51"/>
      <c r="T35" s="120">
        <f t="shared" si="6"/>
        <v>0</v>
      </c>
      <c r="U35" s="95"/>
      <c r="V35" s="93"/>
      <c r="W35" s="94"/>
      <c r="X35" s="94"/>
      <c r="Y35" s="95"/>
    </row>
    <row r="36" spans="1:25" ht="15.75" customHeight="1" outlineLevel="1" x14ac:dyDescent="0.2">
      <c r="A36" s="59" t="s">
        <v>771</v>
      </c>
      <c r="B36" s="58"/>
      <c r="C36" s="58"/>
      <c r="D36" s="58"/>
      <c r="E36" s="123">
        <f t="shared" si="9"/>
        <v>0</v>
      </c>
      <c r="F36" s="112"/>
      <c r="G36" s="119"/>
      <c r="H36" s="111"/>
      <c r="I36" s="111"/>
      <c r="J36" s="111"/>
      <c r="K36" s="112"/>
      <c r="L36" s="119" t="s">
        <v>772</v>
      </c>
      <c r="M36" s="111"/>
      <c r="N36" s="111"/>
      <c r="O36" s="111"/>
      <c r="P36" s="112"/>
      <c r="Q36" s="58"/>
      <c r="R36" s="58"/>
      <c r="S36" s="58"/>
      <c r="T36" s="123">
        <f t="shared" si="6"/>
        <v>0</v>
      </c>
      <c r="U36" s="112"/>
      <c r="V36" s="119"/>
      <c r="W36" s="111"/>
      <c r="X36" s="111"/>
      <c r="Y36" s="112"/>
    </row>
    <row r="37" spans="1:25" ht="15.75" customHeight="1" outlineLevel="1" x14ac:dyDescent="0.2">
      <c r="A37" s="104" t="s">
        <v>7</v>
      </c>
      <c r="B37" s="105" t="s">
        <v>734</v>
      </c>
      <c r="C37" s="106"/>
      <c r="D37" s="107"/>
      <c r="E37" s="108" t="s">
        <v>0</v>
      </c>
      <c r="F37" s="110"/>
      <c r="G37" s="118" t="s">
        <v>8</v>
      </c>
      <c r="H37" s="109"/>
      <c r="I37" s="109"/>
      <c r="J37" s="109"/>
      <c r="K37" s="110"/>
      <c r="L37" s="118" t="s">
        <v>7</v>
      </c>
      <c r="M37" s="109"/>
      <c r="N37" s="109"/>
      <c r="O37" s="109"/>
      <c r="P37" s="110"/>
      <c r="Q37" s="105" t="s">
        <v>734</v>
      </c>
      <c r="R37" s="106"/>
      <c r="S37" s="107"/>
      <c r="T37" s="108" t="s">
        <v>0</v>
      </c>
      <c r="U37" s="110"/>
      <c r="V37" s="118" t="s">
        <v>8</v>
      </c>
      <c r="W37" s="109"/>
      <c r="X37" s="109"/>
      <c r="Y37" s="110"/>
    </row>
    <row r="38" spans="1:25" ht="15.75" customHeight="1" outlineLevel="1" x14ac:dyDescent="0.2">
      <c r="A38" s="103"/>
      <c r="B38" s="53" t="s">
        <v>1</v>
      </c>
      <c r="C38" s="54" t="s">
        <v>2</v>
      </c>
      <c r="D38" s="54" t="s">
        <v>3</v>
      </c>
      <c r="E38" s="100"/>
      <c r="F38" s="102"/>
      <c r="G38" s="100"/>
      <c r="H38" s="101"/>
      <c r="I38" s="101"/>
      <c r="J38" s="101"/>
      <c r="K38" s="102"/>
      <c r="L38" s="100"/>
      <c r="M38" s="101"/>
      <c r="N38" s="101"/>
      <c r="O38" s="101"/>
      <c r="P38" s="102"/>
      <c r="Q38" s="53" t="s">
        <v>1</v>
      </c>
      <c r="R38" s="54" t="s">
        <v>2</v>
      </c>
      <c r="S38" s="54" t="s">
        <v>3</v>
      </c>
      <c r="T38" s="100"/>
      <c r="U38" s="102"/>
      <c r="V38" s="100"/>
      <c r="W38" s="101"/>
      <c r="X38" s="101"/>
      <c r="Y38" s="102"/>
    </row>
    <row r="39" spans="1:25" ht="28.9" customHeight="1" outlineLevel="1" x14ac:dyDescent="0.2">
      <c r="A39" s="96" t="s">
        <v>6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</row>
    <row r="40" spans="1:25" ht="61.9" customHeight="1" outlineLevel="1" x14ac:dyDescent="0.2">
      <c r="A40" s="50" t="s">
        <v>773</v>
      </c>
      <c r="B40" s="51"/>
      <c r="C40" s="51"/>
      <c r="D40" s="51"/>
      <c r="E40" s="120">
        <f t="shared" ref="E40:E47" si="10">SUM(B40:D40)</f>
        <v>0</v>
      </c>
      <c r="F40" s="95"/>
      <c r="G40" s="93"/>
      <c r="H40" s="94"/>
      <c r="I40" s="94"/>
      <c r="J40" s="94"/>
      <c r="K40" s="95"/>
      <c r="L40" s="98" t="s">
        <v>774</v>
      </c>
      <c r="M40" s="94"/>
      <c r="N40" s="94"/>
      <c r="O40" s="94"/>
      <c r="P40" s="95"/>
      <c r="Q40" s="51"/>
      <c r="R40" s="51"/>
      <c r="S40" s="51"/>
      <c r="T40" s="120">
        <f t="shared" ref="T40:T41" si="11">SUM(Q40:S40)</f>
        <v>0</v>
      </c>
      <c r="U40" s="95"/>
      <c r="V40" s="93"/>
      <c r="W40" s="94"/>
      <c r="X40" s="94"/>
      <c r="Y40" s="95"/>
    </row>
    <row r="41" spans="1:25" ht="42" customHeight="1" outlineLevel="1" x14ac:dyDescent="0.2">
      <c r="A41" s="65" t="s">
        <v>783</v>
      </c>
      <c r="B41" s="66">
        <f t="shared" ref="B41:D41" si="12">SUM(B42:B43)</f>
        <v>0</v>
      </c>
      <c r="C41" s="66">
        <f t="shared" si="12"/>
        <v>0</v>
      </c>
      <c r="D41" s="66">
        <f t="shared" si="12"/>
        <v>0</v>
      </c>
      <c r="E41" s="120">
        <f t="shared" si="10"/>
        <v>0</v>
      </c>
      <c r="F41" s="95"/>
      <c r="G41" s="93"/>
      <c r="H41" s="94"/>
      <c r="I41" s="94"/>
      <c r="J41" s="94"/>
      <c r="K41" s="95"/>
      <c r="L41" s="98" t="s">
        <v>775</v>
      </c>
      <c r="M41" s="94"/>
      <c r="N41" s="94"/>
      <c r="O41" s="94"/>
      <c r="P41" s="95"/>
      <c r="Q41" s="51"/>
      <c r="R41" s="51"/>
      <c r="S41" s="51"/>
      <c r="T41" s="120">
        <f t="shared" si="11"/>
        <v>0</v>
      </c>
      <c r="U41" s="95"/>
      <c r="V41" s="93"/>
      <c r="W41" s="94"/>
      <c r="X41" s="94"/>
      <c r="Y41" s="95"/>
    </row>
    <row r="42" spans="1:25" ht="37.9" customHeight="1" outlineLevel="1" x14ac:dyDescent="0.2">
      <c r="A42" s="50" t="s">
        <v>776</v>
      </c>
      <c r="B42" s="51"/>
      <c r="C42" s="51"/>
      <c r="D42" s="51"/>
      <c r="E42" s="133">
        <f t="shared" si="10"/>
        <v>0</v>
      </c>
      <c r="F42" s="95"/>
      <c r="G42" s="134"/>
      <c r="H42" s="94"/>
      <c r="I42" s="94"/>
      <c r="J42" s="94"/>
      <c r="K42" s="95"/>
      <c r="L42" s="122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2"/>
    </row>
    <row r="43" spans="1:25" ht="46.15" customHeight="1" outlineLevel="1" x14ac:dyDescent="0.2">
      <c r="A43" s="50" t="s">
        <v>777</v>
      </c>
      <c r="B43" s="51"/>
      <c r="C43" s="51"/>
      <c r="D43" s="51"/>
      <c r="E43" s="133">
        <f t="shared" si="10"/>
        <v>0</v>
      </c>
      <c r="F43" s="95"/>
      <c r="G43" s="134"/>
      <c r="H43" s="94"/>
      <c r="I43" s="94"/>
      <c r="J43" s="94"/>
      <c r="K43" s="95"/>
      <c r="L43" s="113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14"/>
    </row>
    <row r="44" spans="1:25" ht="39.6" customHeight="1" outlineLevel="1" x14ac:dyDescent="0.2">
      <c r="A44" s="136" t="s">
        <v>784</v>
      </c>
      <c r="B44" s="57">
        <f t="shared" ref="B44:D44" si="13">SUM(B45:B46)-B47</f>
        <v>0</v>
      </c>
      <c r="C44" s="57">
        <f t="shared" si="13"/>
        <v>0</v>
      </c>
      <c r="D44" s="57">
        <f t="shared" si="13"/>
        <v>0</v>
      </c>
      <c r="E44" s="133">
        <f t="shared" si="10"/>
        <v>0</v>
      </c>
      <c r="F44" s="95"/>
      <c r="G44" s="134"/>
      <c r="H44" s="94"/>
      <c r="I44" s="94"/>
      <c r="J44" s="94"/>
      <c r="K44" s="95"/>
      <c r="L44" s="113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14"/>
    </row>
    <row r="45" spans="1:25" ht="46.15" customHeight="1" outlineLevel="1" x14ac:dyDescent="0.2">
      <c r="A45" s="50" t="s">
        <v>778</v>
      </c>
      <c r="B45" s="51"/>
      <c r="C45" s="51"/>
      <c r="D45" s="51"/>
      <c r="E45" s="133">
        <f t="shared" si="10"/>
        <v>0</v>
      </c>
      <c r="F45" s="95"/>
      <c r="G45" s="134"/>
      <c r="H45" s="94"/>
      <c r="I45" s="94"/>
      <c r="J45" s="94"/>
      <c r="K45" s="95"/>
      <c r="L45" s="113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14"/>
    </row>
    <row r="46" spans="1:25" ht="29.45" customHeight="1" outlineLevel="1" x14ac:dyDescent="0.2">
      <c r="A46" s="50" t="s">
        <v>781</v>
      </c>
      <c r="B46" s="58"/>
      <c r="C46" s="58"/>
      <c r="D46" s="58"/>
      <c r="E46" s="123">
        <f t="shared" si="10"/>
        <v>0</v>
      </c>
      <c r="F46" s="112"/>
      <c r="G46" s="119"/>
      <c r="H46" s="111"/>
      <c r="I46" s="111"/>
      <c r="J46" s="111"/>
      <c r="K46" s="112"/>
      <c r="L46" s="113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14"/>
    </row>
    <row r="47" spans="1:25" ht="39" customHeight="1" outlineLevel="1" x14ac:dyDescent="0.2">
      <c r="A47" s="137" t="s">
        <v>785</v>
      </c>
      <c r="B47" s="138"/>
      <c r="C47" s="138"/>
      <c r="D47" s="138"/>
      <c r="E47" s="139">
        <f t="shared" si="10"/>
        <v>0</v>
      </c>
      <c r="F47" s="140"/>
      <c r="G47" s="141"/>
      <c r="H47" s="142"/>
      <c r="I47" s="142"/>
      <c r="J47" s="142"/>
      <c r="K47" s="140"/>
      <c r="L47" s="143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5"/>
    </row>
    <row r="48" spans="1:25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">
      <c r="A55" s="67" t="s">
        <v>788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">
      <c r="A56" s="67" t="s">
        <v>789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67" t="s">
        <v>790</v>
      </c>
      <c r="L57" s="67"/>
      <c r="M57" s="67"/>
      <c r="N57" s="67"/>
      <c r="O57" s="67"/>
      <c r="P57" s="67"/>
      <c r="Q57" s="67"/>
      <c r="R57" s="67"/>
      <c r="S57" s="67"/>
      <c r="T57" s="1"/>
      <c r="U57" s="1"/>
      <c r="V57" s="1"/>
      <c r="W57" s="1"/>
      <c r="X57" s="1"/>
      <c r="Y57" s="1"/>
    </row>
    <row r="58" spans="1:25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67" t="s">
        <v>791</v>
      </c>
      <c r="L58" s="67"/>
      <c r="M58" s="67"/>
      <c r="N58" s="67"/>
      <c r="O58" s="67"/>
      <c r="P58" s="67"/>
      <c r="Q58" s="67"/>
      <c r="R58" s="67"/>
      <c r="S58" s="67"/>
      <c r="T58" s="1"/>
      <c r="U58" s="1"/>
      <c r="V58" s="1"/>
      <c r="W58" s="1"/>
      <c r="X58" s="1"/>
      <c r="Y58" s="1"/>
    </row>
    <row r="59" spans="1:25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 x14ac:dyDescent="0.2"/>
    <row r="732" spans="1:25" ht="15.75" customHeight="1" x14ac:dyDescent="0.2"/>
  </sheetData>
  <mergeCells count="159">
    <mergeCell ref="D1:F1"/>
    <mergeCell ref="D2:F2"/>
    <mergeCell ref="D6:F6"/>
    <mergeCell ref="A8:Y8"/>
    <mergeCell ref="A9:A10"/>
    <mergeCell ref="B9:D9"/>
    <mergeCell ref="T12:U12"/>
    <mergeCell ref="V12:Y12"/>
    <mergeCell ref="E9:F10"/>
    <mergeCell ref="G9:K10"/>
    <mergeCell ref="A11:Y11"/>
    <mergeCell ref="E12:F12"/>
    <mergeCell ref="G12:K12"/>
    <mergeCell ref="L12:P12"/>
    <mergeCell ref="L9:P10"/>
    <mergeCell ref="Q9:S9"/>
    <mergeCell ref="T9:U10"/>
    <mergeCell ref="V9:Y10"/>
    <mergeCell ref="T13:U13"/>
    <mergeCell ref="T14:U14"/>
    <mergeCell ref="E13:F13"/>
    <mergeCell ref="G13:K13"/>
    <mergeCell ref="L13:P13"/>
    <mergeCell ref="V13:Y13"/>
    <mergeCell ref="A1:A7"/>
    <mergeCell ref="U1:Y7"/>
    <mergeCell ref="D5:R5"/>
    <mergeCell ref="T16:U16"/>
    <mergeCell ref="V16:Y16"/>
    <mergeCell ref="E14:F14"/>
    <mergeCell ref="E15:F15"/>
    <mergeCell ref="G15:K15"/>
    <mergeCell ref="L15:P15"/>
    <mergeCell ref="T15:U15"/>
    <mergeCell ref="V15:Y15"/>
    <mergeCell ref="E16:F16"/>
    <mergeCell ref="G16:K16"/>
    <mergeCell ref="L16:P16"/>
    <mergeCell ref="G14:K14"/>
    <mergeCell ref="L14:P14"/>
    <mergeCell ref="V14:Y14"/>
    <mergeCell ref="E17:F17"/>
    <mergeCell ref="G17:K17"/>
    <mergeCell ref="L17:P17"/>
    <mergeCell ref="T17:U17"/>
    <mergeCell ref="V17:Y17"/>
    <mergeCell ref="T18:U18"/>
    <mergeCell ref="T19:U19"/>
    <mergeCell ref="T20:U20"/>
    <mergeCell ref="V20:Y20"/>
    <mergeCell ref="T21:U21"/>
    <mergeCell ref="V21:Y21"/>
    <mergeCell ref="E18:F18"/>
    <mergeCell ref="G18:K18"/>
    <mergeCell ref="L18:P18"/>
    <mergeCell ref="V18:Y18"/>
    <mergeCell ref="G19:K19"/>
    <mergeCell ref="L19:P19"/>
    <mergeCell ref="V19:Y19"/>
    <mergeCell ref="E19:F19"/>
    <mergeCell ref="E20:F20"/>
    <mergeCell ref="G20:K20"/>
    <mergeCell ref="L20:P20"/>
    <mergeCell ref="E21:F21"/>
    <mergeCell ref="G21:K21"/>
    <mergeCell ref="L21:P21"/>
    <mergeCell ref="E22:F22"/>
    <mergeCell ref="G22:K22"/>
    <mergeCell ref="L22:P22"/>
    <mergeCell ref="T22:U22"/>
    <mergeCell ref="V22:Y22"/>
    <mergeCell ref="E24:F24"/>
    <mergeCell ref="G24:K24"/>
    <mergeCell ref="L24:Y24"/>
    <mergeCell ref="A26:Y26"/>
    <mergeCell ref="E27:F27"/>
    <mergeCell ref="G27:K27"/>
    <mergeCell ref="L27:P27"/>
    <mergeCell ref="T27:U27"/>
    <mergeCell ref="V27:Y27"/>
    <mergeCell ref="E28:F28"/>
    <mergeCell ref="G28:K28"/>
    <mergeCell ref="L28:P28"/>
    <mergeCell ref="V28:Y28"/>
    <mergeCell ref="T28:U28"/>
    <mergeCell ref="G29:K29"/>
    <mergeCell ref="L29:P29"/>
    <mergeCell ref="V29:Y29"/>
    <mergeCell ref="E29:F29"/>
    <mergeCell ref="E30:F30"/>
    <mergeCell ref="G30:K30"/>
    <mergeCell ref="L30:P30"/>
    <mergeCell ref="E31:F31"/>
    <mergeCell ref="G31:K31"/>
    <mergeCell ref="L31:P31"/>
    <mergeCell ref="T29:U29"/>
    <mergeCell ref="T30:U30"/>
    <mergeCell ref="V30:Y30"/>
    <mergeCell ref="T31:U31"/>
    <mergeCell ref="V31:Y31"/>
    <mergeCell ref="A32:A33"/>
    <mergeCell ref="B32:B33"/>
    <mergeCell ref="C32:C33"/>
    <mergeCell ref="D32:D33"/>
    <mergeCell ref="G32:K33"/>
    <mergeCell ref="L32:P32"/>
    <mergeCell ref="L33:P33"/>
    <mergeCell ref="E32:F33"/>
    <mergeCell ref="E34:F34"/>
    <mergeCell ref="G34:K34"/>
    <mergeCell ref="L34:P34"/>
    <mergeCell ref="V32:Y32"/>
    <mergeCell ref="T32:U32"/>
    <mergeCell ref="T33:U33"/>
    <mergeCell ref="L41:P41"/>
    <mergeCell ref="V41:Y41"/>
    <mergeCell ref="G42:K42"/>
    <mergeCell ref="L42:Y47"/>
    <mergeCell ref="G43:K43"/>
    <mergeCell ref="E46:F46"/>
    <mergeCell ref="G46:K46"/>
    <mergeCell ref="V33:Y33"/>
    <mergeCell ref="V34:Y34"/>
    <mergeCell ref="V35:Y35"/>
    <mergeCell ref="V36:Y36"/>
    <mergeCell ref="T34:U34"/>
    <mergeCell ref="T35:U35"/>
    <mergeCell ref="T36:U36"/>
    <mergeCell ref="E35:F35"/>
    <mergeCell ref="G35:K35"/>
    <mergeCell ref="L35:P35"/>
    <mergeCell ref="V37:Y38"/>
    <mergeCell ref="A39:Y39"/>
    <mergeCell ref="G40:K40"/>
    <mergeCell ref="L40:P40"/>
    <mergeCell ref="V40:Y40"/>
    <mergeCell ref="E41:F41"/>
    <mergeCell ref="E36:F36"/>
    <mergeCell ref="G36:K36"/>
    <mergeCell ref="L36:P36"/>
    <mergeCell ref="A37:A38"/>
    <mergeCell ref="B37:D37"/>
    <mergeCell ref="E37:F38"/>
    <mergeCell ref="G37:K38"/>
    <mergeCell ref="E42:F42"/>
    <mergeCell ref="E43:F43"/>
    <mergeCell ref="E44:F44"/>
    <mergeCell ref="E47:F47"/>
    <mergeCell ref="G47:K47"/>
    <mergeCell ref="T37:U38"/>
    <mergeCell ref="T40:U40"/>
    <mergeCell ref="T41:U41"/>
    <mergeCell ref="L37:P38"/>
    <mergeCell ref="Q37:S37"/>
    <mergeCell ref="G44:K44"/>
    <mergeCell ref="E45:F45"/>
    <mergeCell ref="G45:K45"/>
    <mergeCell ref="E40:F40"/>
    <mergeCell ref="G41:K41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2025-11-07T06:05:28Z</dcterms:modified>
</cp:coreProperties>
</file>