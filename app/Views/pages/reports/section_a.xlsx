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38B072DA-F7CA-4F69-B49B-BD6FFDA8B3BC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section_a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44" l="1"/>
  <c r="Y18" i="44"/>
  <c r="Y19" i="44"/>
  <c r="Y20" i="44"/>
  <c r="Y21" i="44"/>
  <c r="Y22" i="44"/>
  <c r="Y23" i="44"/>
  <c r="Y24" i="44"/>
  <c r="Y25" i="44"/>
  <c r="Y26" i="44"/>
  <c r="Y27" i="44"/>
  <c r="Y28" i="44"/>
  <c r="Y29" i="44"/>
  <c r="Y30" i="44"/>
  <c r="Y31" i="44"/>
  <c r="Y32" i="44"/>
  <c r="Y33" i="44"/>
  <c r="Y16" i="44"/>
  <c r="Y34" i="44" s="1"/>
  <c r="T17" i="44"/>
  <c r="T18" i="44"/>
  <c r="T19" i="44"/>
  <c r="T20" i="44"/>
  <c r="T21" i="44"/>
  <c r="T22" i="44"/>
  <c r="T23" i="44"/>
  <c r="T24" i="44"/>
  <c r="T25" i="44"/>
  <c r="T26" i="44"/>
  <c r="T27" i="44"/>
  <c r="T28" i="44"/>
  <c r="T29" i="44"/>
  <c r="T30" i="44"/>
  <c r="T31" i="44"/>
  <c r="T32" i="44"/>
  <c r="T33" i="44"/>
  <c r="T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16" i="44"/>
  <c r="Q17" i="44"/>
  <c r="Q18" i="44"/>
  <c r="Q19" i="44"/>
  <c r="Q20" i="44"/>
  <c r="Q21" i="44"/>
  <c r="Q22" i="44"/>
  <c r="Q23" i="44"/>
  <c r="Q24" i="44"/>
  <c r="Q25" i="44"/>
  <c r="Q26" i="44"/>
  <c r="Q27" i="44"/>
  <c r="Q28" i="44"/>
  <c r="Q29" i="44"/>
  <c r="Q30" i="44"/>
  <c r="Q31" i="44"/>
  <c r="Q32" i="44"/>
  <c r="Q33" i="44"/>
  <c r="Q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16" i="44"/>
  <c r="C34" i="44"/>
  <c r="D34" i="44"/>
  <c r="F34" i="44"/>
  <c r="G34" i="44"/>
  <c r="H34" i="44"/>
  <c r="J34" i="44"/>
  <c r="K34" i="44"/>
  <c r="L34" i="44"/>
  <c r="N34" i="44"/>
  <c r="O34" i="44"/>
  <c r="P34" i="44"/>
  <c r="V34" i="44"/>
  <c r="W34" i="44"/>
  <c r="X34" i="44"/>
  <c r="B34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16" i="44"/>
  <c r="U19" i="44" l="1"/>
  <c r="U27" i="44"/>
  <c r="U28" i="44"/>
  <c r="U20" i="44"/>
  <c r="I34" i="44"/>
  <c r="M34" i="44"/>
  <c r="U18" i="44"/>
  <c r="U29" i="44"/>
  <c r="E34" i="44"/>
  <c r="Q34" i="44"/>
  <c r="U30" i="44"/>
  <c r="U22" i="44"/>
  <c r="U32" i="44"/>
  <c r="U24" i="44"/>
  <c r="U21" i="44"/>
  <c r="T34" i="44"/>
  <c r="U17" i="44"/>
  <c r="U33" i="44"/>
  <c r="U26" i="44"/>
  <c r="U25" i="44"/>
  <c r="U31" i="44"/>
  <c r="S34" i="44"/>
  <c r="U23" i="44"/>
  <c r="U16" i="44"/>
  <c r="R34" i="44"/>
  <c r="U34" i="44" l="1"/>
</calcChain>
</file>

<file path=xl/sharedStrings.xml><?xml version="1.0" encoding="utf-8"?>
<sst xmlns="http://schemas.openxmlformats.org/spreadsheetml/2006/main" count="1499" uniqueCount="771">
  <si>
    <t>TOTAL</t>
  </si>
  <si>
    <t>10-14</t>
  </si>
  <si>
    <t>15-19</t>
  </si>
  <si>
    <t>20-49</t>
  </si>
  <si>
    <t>1. No. of women of reproductive age (WRA) 15-49 years old who have demand for Family Planning (FP) and currently using, or whose partner is currently using, any modern FP methods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</si>
  <si>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</si>
  <si>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</si>
  <si>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</si>
  <si>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</si>
  <si>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</si>
  <si>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</si>
  <si>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</si>
  <si>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</si>
  <si>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</si>
  <si>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</si>
  <si>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</si>
  <si>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</si>
  <si>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</si>
  <si>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</si>
  <si>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1. BTL</t>
  </si>
  <si>
    <t>2. NSV</t>
  </si>
  <si>
    <t>Remarks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</si>
  <si>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</si>
  <si>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</si>
  <si>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</si>
  <si>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</si>
  <si>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</si>
  <si>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</si>
  <si>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</si>
  <si>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</si>
  <si>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</si>
  <si>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</si>
  <si>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</si>
  <si>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</si>
  <si>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</si>
  <si>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</si>
  <si>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</si>
  <si>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</si>
  <si>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</si>
  <si>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</si>
  <si>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</si>
  <si>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</si>
  <si>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</si>
  <si>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</si>
  <si>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</si>
  <si>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</si>
  <si>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</si>
  <si>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</si>
  <si>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</si>
  <si>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</si>
  <si>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</si>
  <si>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</si>
  <si>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</si>
  <si>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</si>
  <si>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</si>
  <si>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</si>
  <si>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</si>
  <si>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</si>
  <si>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</si>
  <si>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</si>
  <si>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</si>
  <si>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</si>
  <si>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</si>
  <si>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</si>
  <si>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</si>
  <si>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</si>
  <si>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</si>
  <si>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</si>
  <si>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</si>
  <si>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</si>
  <si>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</si>
  <si>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</si>
  <si>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</si>
  <si>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</si>
  <si>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</si>
  <si>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</si>
  <si>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</si>
  <si>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</si>
  <si>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</si>
  <si>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</si>
  <si>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</si>
  <si>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</si>
  <si>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</si>
  <si>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</si>
  <si>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</si>
  <si>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</si>
  <si>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</si>
  <si>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</si>
  <si>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</si>
  <si>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</si>
  <si>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</si>
  <si>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</si>
  <si>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</si>
  <si>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</si>
  <si>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</si>
  <si>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</si>
  <si>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</si>
  <si>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</si>
  <si>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</si>
  <si>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</si>
  <si>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</si>
  <si>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</si>
  <si>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</si>
  <si>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</si>
  <si>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</si>
  <si>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</si>
  <si>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</si>
  <si>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</si>
  <si>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</si>
  <si>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</si>
  <si>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</si>
  <si>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</si>
  <si>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</si>
  <si>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</si>
  <si>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</si>
  <si>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</si>
  <si>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</si>
  <si>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</si>
  <si>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</si>
  <si>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</si>
  <si>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</si>
  <si>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</si>
  <si>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</si>
  <si>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</si>
  <si>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</si>
  <si>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</si>
  <si>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</si>
  <si>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</si>
  <si>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</si>
  <si>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</si>
  <si>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</si>
  <si>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</si>
  <si>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</si>
  <si>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</si>
  <si>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</si>
  <si>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</si>
  <si>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</si>
  <si>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</si>
  <si>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</si>
  <si>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</si>
  <si>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</si>
  <si>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</si>
  <si>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</si>
  <si>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</si>
  <si>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</si>
  <si>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</si>
  <si>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</si>
  <si>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</si>
  <si>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</si>
  <si>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</si>
  <si>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</si>
  <si>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</si>
  <si>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</si>
  <si>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</si>
  <si>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</si>
  <si>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</si>
  <si>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</si>
  <si>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</si>
  <si>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</si>
  <si>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</si>
  <si>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</si>
  <si>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</si>
  <si>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</si>
  <si>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</si>
  <si>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</si>
  <si>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</si>
  <si>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</si>
  <si>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</si>
  <si>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</si>
  <si>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</si>
  <si>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</si>
  <si>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</si>
  <si>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</si>
  <si>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</si>
  <si>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</si>
  <si>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</si>
  <si>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</si>
  <si>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</si>
  <si>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</si>
  <si>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</si>
  <si>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</si>
  <si>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</si>
  <si>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</si>
  <si>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</si>
  <si>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</si>
  <si>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</si>
  <si>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</si>
  <si>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</si>
  <si>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</si>
  <si>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</si>
  <si>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</si>
  <si>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</si>
  <si>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</si>
  <si>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</si>
  <si>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</si>
  <si>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</si>
  <si>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</si>
  <si>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</si>
  <si>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</si>
  <si>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</si>
  <si>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</si>
  <si>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</si>
  <si>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</si>
  <si>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</si>
  <si>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</si>
  <si>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</si>
  <si>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</si>
  <si>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</si>
  <si>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</si>
  <si>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</si>
  <si>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</si>
  <si>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</si>
  <si>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</si>
  <si>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</si>
  <si>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</si>
  <si>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</si>
  <si>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</si>
  <si>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</si>
  <si>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</si>
  <si>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</si>
  <si>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</si>
  <si>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</si>
  <si>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</si>
  <si>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</si>
  <si>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</si>
  <si>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</si>
  <si>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</si>
  <si>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</si>
  <si>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</si>
  <si>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</si>
  <si>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</si>
  <si>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</si>
  <si>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</si>
  <si>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</si>
  <si>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</si>
  <si>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</si>
  <si>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</si>
  <si>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</si>
  <si>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</si>
  <si>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</si>
  <si>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</si>
  <si>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</si>
  <si>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</si>
  <si>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</si>
  <si>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</si>
  <si>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</si>
  <si>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</si>
  <si>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</si>
  <si>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</si>
  <si>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</si>
  <si>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</si>
  <si>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</si>
  <si>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</si>
  <si>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</si>
  <si>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</si>
  <si>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</si>
  <si>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</si>
  <si>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</si>
  <si>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</si>
  <si>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</si>
  <si>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</si>
  <si>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</si>
  <si>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</si>
  <si>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</si>
  <si>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</si>
  <si>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</si>
  <si>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</si>
  <si>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</si>
  <si>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</si>
  <si>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</si>
  <si>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</si>
  <si>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</si>
  <si>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</si>
  <si>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</si>
  <si>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</si>
  <si>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</si>
  <si>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</si>
  <si>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</si>
  <si>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</si>
  <si>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</si>
  <si>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</si>
  <si>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</si>
  <si>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</si>
  <si>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</si>
  <si>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</si>
  <si>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</si>
  <si>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</si>
  <si>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</si>
  <si>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</si>
  <si>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</si>
  <si>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</si>
  <si>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</si>
  <si>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</si>
  <si>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</si>
  <si>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</si>
  <si>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</si>
  <si>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</si>
  <si>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</si>
  <si>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</si>
  <si>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</si>
  <si>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</si>
  <si>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</si>
  <si>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</si>
  <si>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</si>
  <si>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</si>
  <si>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</si>
  <si>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</si>
  <si>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</si>
  <si>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</si>
  <si>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</si>
  <si>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</si>
  <si>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</si>
  <si>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</si>
  <si>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</si>
  <si>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</si>
  <si>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</si>
  <si>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</si>
  <si>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</si>
  <si>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</si>
  <si>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</si>
  <si>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</si>
  <si>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</si>
  <si>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</si>
  <si>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</si>
  <si>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</si>
  <si>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</si>
  <si>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</si>
  <si>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</si>
  <si>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</si>
  <si>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</si>
  <si>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</si>
  <si>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</si>
  <si>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</si>
  <si>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</si>
  <si>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</si>
  <si>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</si>
  <si>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</si>
  <si>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</si>
  <si>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</si>
  <si>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</si>
  <si>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</si>
  <si>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</si>
  <si>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</si>
  <si>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</si>
  <si>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</si>
  <si>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</si>
  <si>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</si>
  <si>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</si>
  <si>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</si>
  <si>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</si>
  <si>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</si>
  <si>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</si>
  <si>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</si>
  <si>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</si>
  <si>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</si>
  <si>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</si>
  <si>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</si>
  <si>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</si>
  <si>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</si>
  <si>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</si>
  <si>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</si>
  <si>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</si>
  <si>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</si>
  <si>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</si>
  <si>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</si>
  <si>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</si>
  <si>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</si>
  <si>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</si>
  <si>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</si>
  <si>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</si>
  <si>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</si>
  <si>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</si>
  <si>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</si>
  <si>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</si>
  <si>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</si>
  <si>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</si>
  <si>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</si>
  <si>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</si>
  <si>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</si>
  <si>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</si>
  <si>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</si>
  <si>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</si>
  <si>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</si>
  <si>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</si>
  <si>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</si>
  <si>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</si>
  <si>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</si>
  <si>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</si>
  <si>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</si>
  <si>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</si>
  <si>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</si>
  <si>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</si>
  <si>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</si>
  <si>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</si>
  <si>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</si>
  <si>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</si>
  <si>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</si>
  <si>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</si>
  <si>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</si>
  <si>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</si>
  <si>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</si>
  <si>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</si>
  <si>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</si>
  <si>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</si>
  <si>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</si>
  <si>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</si>
  <si>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</si>
  <si>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</si>
  <si>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</si>
  <si>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</si>
  <si>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</si>
  <si>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</si>
  <si>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</si>
  <si>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</si>
  <si>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</si>
  <si>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</si>
  <si>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</si>
  <si>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</si>
  <si>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</si>
  <si>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</si>
  <si>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</si>
  <si>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</si>
  <si>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</si>
  <si>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</si>
  <si>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</si>
  <si>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</si>
  <si>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</si>
  <si>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</si>
  <si>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</si>
  <si>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</si>
  <si>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</si>
  <si>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</si>
  <si>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</si>
  <si>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</si>
  <si>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</si>
  <si>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</si>
  <si>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</si>
  <si>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</si>
  <si>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</si>
  <si>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</si>
  <si>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</si>
  <si>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</si>
  <si>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</si>
  <si>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</si>
  <si>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</si>
  <si>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</si>
  <si>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</si>
  <si>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</si>
  <si>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</si>
  <si>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</si>
  <si>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</si>
  <si>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</si>
  <si>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</si>
  <si>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</si>
  <si>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</si>
  <si>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</si>
  <si>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</si>
  <si>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</si>
  <si>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</si>
  <si>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</si>
  <si>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</si>
  <si>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</si>
  <si>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</si>
  <si>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</si>
  <si>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</si>
  <si>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</si>
  <si>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</si>
  <si>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</si>
  <si>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</si>
  <si>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</si>
  <si>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</si>
  <si>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</si>
  <si>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</si>
  <si>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</si>
  <si>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</si>
  <si>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</si>
  <si>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</si>
  <si>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</si>
  <si>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</si>
  <si>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</si>
  <si>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</si>
  <si>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</si>
  <si>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</si>
  <si>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</si>
  <si>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</si>
  <si>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</si>
  <si>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</si>
  <si>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</si>
  <si>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</si>
  <si>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</si>
  <si>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</si>
  <si>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</si>
  <si>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</si>
  <si>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</si>
  <si>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</si>
  <si>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</si>
  <si>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</si>
  <si>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</si>
  <si>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</si>
  <si>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</si>
  <si>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</si>
  <si>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</si>
  <si>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</si>
  <si>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</si>
  <si>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</si>
  <si>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</si>
  <si>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</si>
  <si>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</si>
  <si>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</si>
  <si>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</si>
  <si>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</si>
  <si>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</si>
  <si>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</si>
  <si>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</si>
  <si>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</si>
  <si>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</si>
  <si>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</si>
  <si>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</si>
  <si>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</si>
  <si>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</si>
  <si>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</si>
  <si>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</si>
  <si>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</si>
  <si>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</si>
  <si>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</si>
  <si>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</si>
  <si>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</si>
  <si>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</si>
  <si>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</si>
  <si>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</si>
  <si>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</si>
  <si>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</si>
  <si>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</si>
  <si>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</si>
  <si>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</si>
  <si>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</si>
  <si>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</si>
  <si>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</si>
  <si>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</si>
  <si>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</si>
  <si>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</si>
  <si>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</si>
  <si>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</si>
  <si>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</si>
  <si>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</si>
  <si>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</si>
  <si>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</si>
  <si>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</si>
  <si>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</si>
  <si>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</si>
  <si>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</si>
  <si>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</si>
  <si>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</si>
  <si>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</si>
  <si>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</si>
  <si>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</si>
  <si>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</si>
  <si>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</si>
  <si>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</si>
  <si>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</si>
  <si>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</si>
  <si>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</si>
  <si>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</si>
  <si>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</si>
  <si>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</si>
  <si>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</si>
  <si>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</si>
  <si>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</si>
  <si>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</si>
  <si>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</si>
  <si>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</si>
  <si>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</si>
  <si>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</si>
  <si>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</si>
  <si>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</si>
  <si>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</si>
  <si>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</si>
  <si>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</si>
  <si>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</si>
  <si>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</si>
  <si>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</si>
  <si>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</si>
  <si>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</si>
  <si>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</si>
  <si>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</si>
  <si>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</si>
  <si>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</si>
  <si>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</si>
  <si>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</si>
  <si>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</si>
  <si>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</si>
  <si>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</si>
  <si>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</si>
  <si>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</si>
  <si>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</si>
  <si>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</si>
  <si>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</si>
  <si>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</si>
  <si>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</si>
  <si>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</si>
  <si>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</si>
  <si>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</si>
  <si>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</si>
  <si>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</si>
  <si>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</si>
  <si>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</si>
  <si>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</si>
  <si>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</si>
  <si>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</si>
  <si>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</si>
  <si>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</si>
  <si>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</si>
  <si>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</si>
  <si>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</si>
  <si>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</si>
  <si>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</si>
  <si>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</si>
  <si>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</si>
  <si>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</si>
  <si>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</si>
  <si>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</si>
  <si>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</si>
  <si>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</si>
  <si>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</si>
  <si>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</si>
  <si>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</si>
  <si>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</si>
  <si>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</si>
  <si>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</si>
  <si>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</si>
  <si>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</si>
  <si>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</si>
  <si>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</si>
  <si>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</si>
  <si>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</si>
  <si>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</si>
  <si>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</si>
  <si>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</si>
  <si>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</si>
  <si>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</si>
  <si>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</si>
  <si>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</si>
  <si>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</si>
  <si>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</si>
  <si>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</si>
  <si>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</si>
  <si>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</si>
  <si>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</si>
  <si>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</si>
  <si>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</si>
  <si>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</si>
  <si>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</si>
  <si>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</si>
  <si>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</si>
  <si>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</si>
  <si>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</si>
  <si>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</si>
  <si>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</si>
  <si>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</si>
  <si>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</si>
  <si>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</si>
  <si>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</si>
  <si>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</si>
  <si>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</si>
  <si>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</si>
  <si>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</si>
  <si>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</si>
  <si>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</si>
  <si>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</si>
  <si>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</si>
  <si>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</si>
  <si>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</si>
  <si>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</si>
  <si>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</si>
  <si>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</si>
  <si>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</si>
  <si>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</si>
  <si>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</si>
  <si>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</si>
  <si>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</si>
  <si>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</si>
  <si>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</si>
  <si>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</si>
  <si>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</si>
  <si>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</si>
  <si>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</si>
  <si>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</si>
  <si>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</si>
  <si>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</si>
  <si>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</si>
  <si>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</si>
  <si>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</si>
  <si>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</si>
  <si>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</si>
  <si>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</si>
  <si>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</si>
  <si>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</si>
  <si>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</si>
  <si>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</si>
  <si>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</si>
  <si>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</si>
  <si>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</si>
  <si>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</si>
  <si>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</si>
  <si>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</si>
  <si>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</si>
  <si>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</si>
  <si>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</si>
  <si>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</si>
  <si>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</si>
  <si>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</si>
  <si>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</si>
  <si>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</si>
  <si>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</si>
  <si>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</si>
  <si>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</si>
  <si>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</si>
  <si>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</si>
  <si>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</si>
  <si>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</si>
  <si>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</si>
  <si>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</si>
  <si>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</si>
  <si>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</si>
  <si>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</si>
  <si>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</si>
  <si>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</si>
  <si>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</si>
  <si>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</si>
  <si>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</si>
  <si>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</si>
  <si>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</si>
  <si>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</si>
  <si>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</si>
  <si>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</si>
  <si>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</si>
  <si>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</si>
  <si>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</si>
  <si>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</si>
  <si>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</si>
  <si>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</si>
  <si>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</si>
  <si>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</si>
  <si>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</si>
  <si>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</si>
  <si>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</si>
  <si>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</si>
  <si>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Age Group</t>
  </si>
  <si>
    <t>SECTION A. FAMILY PLANNING SERVICES FOR WOMEN OF REPRODUCTIVE AGE</t>
  </si>
  <si>
    <t>Demand Satisfied</t>
  </si>
  <si>
    <t>Total WRA 15-49 yrs old</t>
  </si>
  <si>
    <t>10-14 yrs old</t>
  </si>
  <si>
    <t>15-19 yrs old</t>
  </si>
  <si>
    <t>20-49 yrs old</t>
  </si>
  <si>
    <t>Modern FP Methods</t>
  </si>
  <si>
    <t>Acceptors</t>
  </si>
  <si>
    <t>New Acceptors (Previous Month)</t>
  </si>
  <si>
    <t>Other Acceptors (Present Month)</t>
  </si>
  <si>
    <t xml:space="preserve">     a. Implants-Interval</t>
  </si>
  <si>
    <t xml:space="preserve">     b. Implants-PP</t>
  </si>
  <si>
    <t>Total Current Users</t>
  </si>
  <si>
    <r>
      <t xml:space="preserve">Current Users
</t>
    </r>
    <r>
      <rPr>
        <sz val="9"/>
        <color rgb="FFFFFFFF"/>
        <rFont val="Arial"/>
        <family val="2"/>
      </rPr>
      <t>(Beginning of the Month)</t>
    </r>
  </si>
  <si>
    <r>
      <t xml:space="preserve">Drop-outs
</t>
    </r>
    <r>
      <rPr>
        <sz val="9"/>
        <color rgb="FFFFFFFF"/>
        <rFont val="Arial"/>
        <family val="2"/>
      </rPr>
      <t>(Present Month)</t>
    </r>
  </si>
  <si>
    <r>
      <t xml:space="preserve">Current User
</t>
    </r>
    <r>
      <rPr>
        <sz val="9"/>
        <color rgb="FFFFFFFF"/>
        <rFont val="Arial"/>
        <family val="2"/>
      </rPr>
      <t>(End of the Month)</t>
    </r>
  </si>
  <si>
    <r>
      <t xml:space="preserve">New Acceptors
</t>
    </r>
    <r>
      <rPr>
        <sz val="9"/>
        <color rgb="FFFFFFFF"/>
        <rFont val="Arial"/>
        <family val="2"/>
      </rPr>
      <t>(Present Month)</t>
    </r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</si>
  <si>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</si>
  <si>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t>FHSIS REPORT for the</t>
  </si>
  <si>
    <t>Quarter of the Year</t>
  </si>
  <si>
    <t>Name of Province: BUKIDNON</t>
  </si>
  <si>
    <t>Q
RHU</t>
  </si>
  <si>
    <t>Name of Province: LANTAPAN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</si>
</sst>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3" xfId="0" quotePrefix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/>
    </xf>
    <xf numFmtId="0" fontId="24" fillId="3" borderId="2" xfId="0" applyFont="1" applyFill="1" applyBorder="1" applyAlignment="1">
      <alignment vertical="center"/>
    </xf>
    <xf numFmtId="0" fontId="25" fillId="3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6" fillId="0" borderId="0" xfId="0" applyFont="1"/>
    <xf numFmtId="0" fontId="4" fillId="0" borderId="18" xfId="0" applyFont="1" applyBorder="1" applyAlignment="1">
      <alignment vertical="center"/>
    </xf>
    <xf numFmtId="0" fontId="33" fillId="0" borderId="19" xfId="0" applyFont="1" applyBorder="1"/>
    <xf numFmtId="0" fontId="33" fillId="0" borderId="0" xfId="0" applyFont="1"/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8" fillId="0" borderId="12" xfId="0" applyFont="1" applyBorder="1"/>
    <xf numFmtId="0" fontId="28" fillId="0" borderId="7" xfId="0" applyFont="1" applyBorder="1"/>
    <xf numFmtId="0" fontId="27" fillId="2" borderId="15" xfId="0" applyFont="1" applyFill="1" applyBorder="1" applyAlignment="1">
      <alignment horizontal="center" vertical="center"/>
    </xf>
    <xf numFmtId="0" fontId="28" fillId="0" borderId="16" xfId="0" applyFont="1" applyBorder="1"/>
    <xf numFmtId="0" fontId="28" fillId="0" borderId="17" xfId="0" applyFont="1" applyBorder="1"/>
    <xf numFmtId="0" fontId="28" fillId="0" borderId="13" xfId="0" applyFont="1" applyBorder="1"/>
    <xf numFmtId="0" fontId="28" fillId="0" borderId="14" xfId="0" applyFont="1" applyBorder="1"/>
    <xf numFmtId="0" fontId="28" fillId="0" borderId="10" xfId="0" applyFont="1" applyBorder="1"/>
    <xf numFmtId="0" fontId="27" fillId="2" borderId="4" xfId="0" applyFont="1" applyFill="1" applyBorder="1" applyAlignment="1">
      <alignment horizontal="center" vertical="center"/>
    </xf>
    <xf numFmtId="0" fontId="28" fillId="0" borderId="5" xfId="0" applyFont="1" applyBorder="1"/>
    <xf numFmtId="0" fontId="28" fillId="0" borderId="6" xfId="0" applyFont="1" applyBorder="1"/>
    <xf numFmtId="0" fontId="27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6" fillId="0" borderId="0" xfId="0" applyFont="1"/>
    <xf numFmtId="0" fontId="27" fillId="2" borderId="1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/>
    <xf numFmtId="0" fontId="4" fillId="0" borderId="0" xfId="0" applyFont="1" applyAlignment="1">
      <alignment vertical="center"/>
    </xf>
    <xf numFmtId="0" fontId="27" fillId="2" borderId="4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vertical="center"/>
    </xf>
    <xf numFmtId="0" fontId="28" fillId="0" borderId="8" xfId="0" applyFont="1" applyBorder="1"/>
    <xf numFmtId="0" fontId="27" fillId="2" borderId="4" xfId="0" quotePrefix="1" applyFont="1" applyFill="1" applyBorder="1" applyAlignment="1">
      <alignment horizontal="center" vertical="center"/>
    </xf>
    <xf numFmtId="0" fontId="24" fillId="0" borderId="9" xfId="0" applyFont="1" applyBorder="1" applyAlignment="1">
      <alignment vertical="center" wrapText="1"/>
    </xf>
    <xf numFmtId="0" fontId="28" fillId="0" borderId="16" xfId="0" applyFont="1" applyBorder="1" applyAlignment="1">
      <alignment wrapText="1"/>
    </xf>
    <xf numFmtId="0" fontId="28" fillId="0" borderId="17" xfId="0" applyFont="1" applyBorder="1" applyAlignment="1">
      <alignment wrapText="1"/>
    </xf>
    <xf numFmtId="0" fontId="28" fillId="0" borderId="13" xfId="0" applyFont="1" applyBorder="1" applyAlignment="1">
      <alignment wrapText="1"/>
    </xf>
    <xf numFmtId="0" fontId="28" fillId="0" borderId="14" xfId="0" applyFont="1" applyBorder="1" applyAlignment="1">
      <alignment wrapText="1"/>
    </xf>
    <xf numFmtId="0" fontId="28" fillId="0" borderId="10" xfId="0" applyFont="1" applyBorder="1" applyAlignment="1">
      <alignment wrapText="1"/>
    </xf>
    <xf numFmtId="0" fontId="34" fillId="2" borderId="4" xfId="0" applyFont="1" applyFill="1" applyBorder="1" applyAlignment="1">
      <alignment horizontal="center" vertical="center"/>
    </xf>
    <xf numFmtId="0" fontId="35" fillId="0" borderId="5" xfId="0" applyFont="1" applyBorder="1"/>
    <xf numFmtId="0" fontId="3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63"/>
      <c r="C2" s="69"/>
      <c r="D2" s="63"/>
      <c r="E2" s="63"/>
      <c r="F2" s="1"/>
      <c r="G2" s="62" t="s">
        <v>22</v>
      </c>
      <c r="H2" s="63"/>
      <c r="I2" s="63"/>
      <c r="J2" s="63"/>
      <c r="K2" s="7" t="s">
        <v>23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24</v>
      </c>
      <c r="AI2" s="63"/>
      <c r="AJ2" s="63"/>
      <c r="AK2" s="10"/>
    </row>
    <row r="3" spans="1:37" ht="15.75" customHeight="1" x14ac:dyDescent="0.2">
      <c r="A3" s="5"/>
      <c r="B3" s="63"/>
      <c r="C3" s="63"/>
      <c r="D3" s="63"/>
      <c r="E3" s="63"/>
      <c r="F3" s="1"/>
      <c r="G3" s="62" t="s">
        <v>25</v>
      </c>
      <c r="H3" s="63"/>
      <c r="I3" s="63"/>
      <c r="J3" s="63"/>
      <c r="K3" s="7" t="s">
        <v>26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ht="15.75" customHeight="1" x14ac:dyDescent="0.2">
      <c r="A4" s="5"/>
      <c r="B4" s="63"/>
      <c r="C4" s="63"/>
      <c r="D4" s="63"/>
      <c r="E4" s="63"/>
      <c r="F4" s="1"/>
      <c r="G4" s="62" t="s">
        <v>27</v>
      </c>
      <c r="H4" s="63"/>
      <c r="I4" s="63"/>
      <c r="J4" s="63"/>
      <c r="K4" s="7" t="s">
        <v>26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ht="15.75" customHeight="1" x14ac:dyDescent="0.2">
      <c r="A5" s="5"/>
      <c r="B5" s="63"/>
      <c r="C5" s="63"/>
      <c r="D5" s="63"/>
      <c r="E5" s="63"/>
      <c r="F5" s="1"/>
      <c r="G5" s="62" t="s">
        <v>28</v>
      </c>
      <c r="H5" s="63"/>
      <c r="I5" s="63"/>
      <c r="J5" s="63"/>
      <c r="K5" s="7" t="s">
        <v>26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ht="15.75" customHeight="1" x14ac:dyDescent="0.2">
      <c r="A6" s="5"/>
      <c r="B6" s="63"/>
      <c r="C6" s="63"/>
      <c r="D6" s="63"/>
      <c r="E6" s="63"/>
      <c r="F6" s="1"/>
      <c r="G6" s="62" t="s">
        <v>29</v>
      </c>
      <c r="H6" s="63"/>
      <c r="I6" s="63"/>
      <c r="J6" s="63"/>
      <c r="K6" s="7" t="s">
        <v>26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ht="15.75" customHeight="1" x14ac:dyDescent="0.2">
      <c r="A7" s="5"/>
      <c r="B7" s="63"/>
      <c r="C7" s="63"/>
      <c r="D7" s="63"/>
      <c r="E7" s="63"/>
      <c r="F7" s="1"/>
      <c r="G7" s="62" t="s">
        <v>30</v>
      </c>
      <c r="H7" s="63"/>
      <c r="I7" s="63"/>
      <c r="J7" s="63"/>
      <c r="K7" s="7" t="s">
        <v>26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ht="15.75" customHeight="1" x14ac:dyDescent="0.2">
      <c r="A8" s="5"/>
      <c r="B8" s="63"/>
      <c r="C8" s="1"/>
      <c r="D8" s="1"/>
      <c r="E8" s="1"/>
      <c r="F8" s="1"/>
      <c r="G8" s="1"/>
      <c r="H8" s="1"/>
      <c r="I8" s="12"/>
      <c r="J8" s="64" t="s">
        <v>31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65" t="s">
        <v>32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ht="15.75" customHeight="1" x14ac:dyDescent="0.2">
      <c r="A10" s="13" t="s">
        <v>33</v>
      </c>
      <c r="B10" s="13" t="s">
        <v>34</v>
      </c>
      <c r="C10" s="13" t="s">
        <v>35</v>
      </c>
      <c r="D10" s="13" t="s">
        <v>36</v>
      </c>
      <c r="E10" s="13" t="s">
        <v>37</v>
      </c>
      <c r="F10" s="13" t="s">
        <v>38</v>
      </c>
      <c r="G10" s="13" t="s">
        <v>39</v>
      </c>
      <c r="H10" s="13" t="s">
        <v>40</v>
      </c>
      <c r="I10" s="13" t="s">
        <v>41</v>
      </c>
      <c r="J10" s="13" t="s">
        <v>42</v>
      </c>
      <c r="K10" s="13" t="s">
        <v>43</v>
      </c>
      <c r="L10" s="13" t="s">
        <v>44</v>
      </c>
      <c r="M10" s="13" t="s">
        <v>45</v>
      </c>
      <c r="N10" s="13" t="s">
        <v>46</v>
      </c>
      <c r="O10" s="13" t="s">
        <v>47</v>
      </c>
      <c r="P10" s="13" t="s">
        <v>48</v>
      </c>
      <c r="Q10" s="13" t="s">
        <v>49</v>
      </c>
      <c r="R10" s="13" t="s">
        <v>50</v>
      </c>
      <c r="S10" s="13" t="s">
        <v>51</v>
      </c>
      <c r="T10" s="13" t="s">
        <v>52</v>
      </c>
      <c r="U10" s="13" t="s">
        <v>53</v>
      </c>
      <c r="V10" s="13" t="s">
        <v>54</v>
      </c>
      <c r="W10" s="13" t="s">
        <v>55</v>
      </c>
      <c r="X10" s="13" t="s">
        <v>56</v>
      </c>
      <c r="Y10" s="13" t="s">
        <v>57</v>
      </c>
      <c r="Z10" s="13" t="s">
        <v>58</v>
      </c>
      <c r="AA10" s="13" t="s">
        <v>59</v>
      </c>
      <c r="AB10" s="13" t="s">
        <v>60</v>
      </c>
      <c r="AC10" s="13" t="s">
        <v>61</v>
      </c>
      <c r="AD10" s="13" t="s">
        <v>62</v>
      </c>
      <c r="AE10" s="13" t="s">
        <v>63</v>
      </c>
      <c r="AF10" s="13" t="s">
        <v>64</v>
      </c>
      <c r="AG10" s="13" t="s">
        <v>65</v>
      </c>
      <c r="AH10" s="13" t="s">
        <v>66</v>
      </c>
      <c r="AI10" s="13" t="s">
        <v>67</v>
      </c>
      <c r="AJ10" s="13" t="s">
        <v>68</v>
      </c>
      <c r="AK10" s="13" t="s">
        <v>69</v>
      </c>
    </row>
    <row r="11" spans="1:37" ht="15.75" customHeight="1" x14ac:dyDescent="0.2">
      <c r="A11" s="14" t="s">
        <v>70</v>
      </c>
      <c r="B11" s="15" t="s">
        <v>71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72</v>
      </c>
      <c r="B12" s="18" t="s">
        <v>73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74</v>
      </c>
      <c r="B13" s="18" t="s">
        <v>75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76</v>
      </c>
      <c r="B14" s="18" t="s">
        <v>77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78</v>
      </c>
      <c r="B15" s="18" t="s">
        <v>79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80</v>
      </c>
      <c r="B16" s="18" t="s">
        <v>81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82</v>
      </c>
      <c r="B17" s="18" t="s">
        <v>83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84</v>
      </c>
      <c r="B18" s="18" t="s">
        <v>85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86</v>
      </c>
      <c r="B19" s="18" t="s">
        <v>87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88</v>
      </c>
      <c r="B20" s="18" t="s">
        <v>89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90</v>
      </c>
      <c r="B21" s="18" t="s">
        <v>91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92</v>
      </c>
      <c r="B22" s="18" t="s">
        <v>93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94</v>
      </c>
      <c r="B23" s="18" t="s">
        <v>95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96</v>
      </c>
      <c r="B24" s="18" t="s">
        <v>97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98</v>
      </c>
      <c r="B25" s="18" t="s">
        <v>99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100</v>
      </c>
      <c r="B26" s="18" t="s">
        <v>101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102</v>
      </c>
      <c r="B27" s="18" t="s">
        <v>103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104</v>
      </c>
      <c r="B28" s="18" t="s">
        <v>105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106</v>
      </c>
      <c r="B29" s="18" t="s">
        <v>107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108</v>
      </c>
      <c r="B30" s="18" t="s">
        <v>109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110</v>
      </c>
      <c r="B31" s="18" t="s">
        <v>111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112</v>
      </c>
      <c r="B32" s="18" t="s">
        <v>113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114</v>
      </c>
      <c r="B33" s="18" t="s">
        <v>115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116</v>
      </c>
      <c r="B34" s="18" t="s">
        <v>117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118</v>
      </c>
      <c r="B35" s="18" t="s">
        <v>119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120</v>
      </c>
      <c r="B36" s="18" t="s">
        <v>121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122</v>
      </c>
      <c r="B37" s="18" t="s">
        <v>123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124</v>
      </c>
      <c r="B38" s="18" t="s">
        <v>125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126</v>
      </c>
      <c r="B39" s="18" t="s">
        <v>127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128</v>
      </c>
      <c r="B40" s="18" t="s">
        <v>129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130</v>
      </c>
      <c r="B41" s="18" t="s">
        <v>131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132</v>
      </c>
      <c r="B42" s="18" t="s">
        <v>133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134</v>
      </c>
      <c r="B43" s="18" t="s">
        <v>135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136</v>
      </c>
      <c r="B44" s="18" t="s">
        <v>137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138</v>
      </c>
      <c r="B45" s="18" t="s">
        <v>139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140</v>
      </c>
      <c r="B46" s="18" t="s">
        <v>141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142</v>
      </c>
      <c r="B47" s="18" t="s">
        <v>143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144</v>
      </c>
      <c r="B48" s="18" t="s">
        <v>145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146</v>
      </c>
      <c r="B49" s="18" t="s">
        <v>147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148</v>
      </c>
      <c r="B50" s="18" t="s">
        <v>149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150</v>
      </c>
      <c r="B51" s="18" t="s">
        <v>151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152</v>
      </c>
      <c r="B52" s="18" t="s">
        <v>153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154</v>
      </c>
      <c r="B53" s="18" t="s">
        <v>155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156</v>
      </c>
      <c r="B54" s="18" t="s">
        <v>157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158</v>
      </c>
      <c r="B55" s="18" t="s">
        <v>159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160</v>
      </c>
      <c r="B56" s="18" t="s">
        <v>161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162</v>
      </c>
      <c r="B57" s="18" t="s">
        <v>163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164</v>
      </c>
      <c r="B58" s="18" t="s">
        <v>165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166</v>
      </c>
      <c r="B59" s="18" t="s">
        <v>167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168</v>
      </c>
      <c r="B60" s="18" t="s">
        <v>169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170</v>
      </c>
      <c r="B61" s="18" t="s">
        <v>171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172</v>
      </c>
      <c r="B62" s="18" t="s">
        <v>173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174</v>
      </c>
      <c r="B63" s="18" t="s">
        <v>175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176</v>
      </c>
      <c r="B64" s="18" t="s">
        <v>177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178</v>
      </c>
      <c r="B65" s="18" t="s">
        <v>179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180</v>
      </c>
      <c r="B66" s="18" t="s">
        <v>181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182</v>
      </c>
      <c r="B67" s="18" t="s">
        <v>183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184</v>
      </c>
      <c r="B68" s="18" t="s">
        <v>185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186</v>
      </c>
      <c r="B69" s="18" t="s">
        <v>187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188</v>
      </c>
      <c r="B70" s="18" t="s">
        <v>189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190</v>
      </c>
      <c r="B71" s="20" t="s">
        <v>191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192</v>
      </c>
      <c r="B72" s="18" t="s">
        <v>193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194</v>
      </c>
      <c r="B73" s="18" t="s">
        <v>195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196</v>
      </c>
      <c r="B74" s="18" t="s">
        <v>197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198</v>
      </c>
      <c r="B75" s="18" t="s">
        <v>199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200</v>
      </c>
      <c r="B76" s="18" t="s">
        <v>201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202</v>
      </c>
      <c r="B77" s="18" t="s">
        <v>203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204</v>
      </c>
      <c r="B78" s="18" t="s">
        <v>205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206</v>
      </c>
      <c r="B79" s="18" t="s">
        <v>207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208</v>
      </c>
      <c r="B80" s="18" t="s">
        <v>209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210</v>
      </c>
      <c r="B81" s="18" t="s">
        <v>211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212</v>
      </c>
      <c r="B82" s="18" t="s">
        <v>213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214</v>
      </c>
      <c r="B83" s="18" t="s">
        <v>215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216</v>
      </c>
      <c r="B84" s="18" t="s">
        <v>217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218</v>
      </c>
      <c r="B85" s="18" t="s">
        <v>219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220</v>
      </c>
      <c r="B86" s="18" t="s">
        <v>221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222</v>
      </c>
      <c r="B87" s="18" t="s">
        <v>223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224</v>
      </c>
      <c r="B88" s="18" t="s">
        <v>225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226</v>
      </c>
      <c r="B89" s="18" t="s">
        <v>227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228</v>
      </c>
      <c r="B90" s="18" t="s">
        <v>229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230</v>
      </c>
      <c r="B91" s="18" t="s">
        <v>231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232</v>
      </c>
      <c r="B92" s="18" t="s">
        <v>233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234</v>
      </c>
      <c r="B93" s="18" t="s">
        <v>235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236</v>
      </c>
      <c r="B94" s="18" t="s">
        <v>237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238</v>
      </c>
      <c r="B95" s="18" t="s">
        <v>239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240</v>
      </c>
      <c r="B96" s="18" t="s">
        <v>241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242</v>
      </c>
      <c r="B97" s="18" t="s">
        <v>243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244</v>
      </c>
      <c r="B98" s="18" t="s">
        <v>245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246</v>
      </c>
      <c r="B99" s="18" t="s">
        <v>247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248</v>
      </c>
      <c r="B100" s="18" t="s">
        <v>249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250</v>
      </c>
      <c r="B101" s="18" t="s">
        <v>251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252</v>
      </c>
      <c r="B102" s="18" t="s">
        <v>253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254</v>
      </c>
      <c r="B103" s="18" t="s">
        <v>255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256</v>
      </c>
      <c r="B104" s="18" t="s">
        <v>257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258</v>
      </c>
      <c r="B105" s="18" t="s">
        <v>259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260</v>
      </c>
      <c r="B106" s="18" t="s">
        <v>261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262</v>
      </c>
      <c r="B107" s="18" t="s">
        <v>263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264</v>
      </c>
      <c r="B108" s="18" t="s">
        <v>265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266</v>
      </c>
      <c r="B109" s="18" t="s">
        <v>267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268</v>
      </c>
      <c r="B110" s="18" t="s">
        <v>269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270</v>
      </c>
      <c r="B111" s="20" t="s">
        <v>271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272</v>
      </c>
      <c r="B112" s="18" t="s">
        <v>273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274</v>
      </c>
      <c r="B113" s="18" t="s">
        <v>275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276</v>
      </c>
      <c r="B114" s="18" t="s">
        <v>277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278</v>
      </c>
      <c r="B115" s="18" t="s">
        <v>279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280</v>
      </c>
      <c r="B116" s="20" t="s">
        <v>281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282</v>
      </c>
      <c r="B117" s="18" t="s">
        <v>283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284</v>
      </c>
      <c r="B118" s="18" t="s">
        <v>285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286</v>
      </c>
      <c r="B119" s="18" t="s">
        <v>287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288</v>
      </c>
      <c r="B120" s="18" t="s">
        <v>289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290</v>
      </c>
      <c r="B121" s="18" t="s">
        <v>291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292</v>
      </c>
      <c r="B122" s="18" t="s">
        <v>293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294</v>
      </c>
      <c r="B123" s="18" t="s">
        <v>295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296</v>
      </c>
      <c r="B124" s="18" t="s">
        <v>297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298</v>
      </c>
      <c r="B125" s="18" t="s">
        <v>299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300</v>
      </c>
      <c r="B126" s="18" t="s">
        <v>301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302</v>
      </c>
      <c r="B127" s="18" t="s">
        <v>303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304</v>
      </c>
      <c r="B128" s="20" t="s">
        <v>305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306</v>
      </c>
      <c r="B129" s="18" t="s">
        <v>307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308</v>
      </c>
      <c r="B130" s="18" t="s">
        <v>309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310</v>
      </c>
      <c r="B131" s="18" t="s">
        <v>311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312</v>
      </c>
      <c r="B132" s="18" t="s">
        <v>313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314</v>
      </c>
      <c r="B133" s="18" t="s">
        <v>315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316</v>
      </c>
      <c r="B134" s="18" t="s">
        <v>317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318</v>
      </c>
      <c r="B135" s="18" t="s">
        <v>319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320</v>
      </c>
      <c r="B136" s="18" t="s">
        <v>321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322</v>
      </c>
      <c r="B137" s="20" t="s">
        <v>323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324</v>
      </c>
      <c r="B138" s="18" t="s">
        <v>325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326</v>
      </c>
      <c r="B139" s="18" t="s">
        <v>327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328</v>
      </c>
      <c r="B140" s="18" t="s">
        <v>329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330</v>
      </c>
      <c r="B141" s="18" t="s">
        <v>331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332</v>
      </c>
      <c r="B142" s="18" t="s">
        <v>333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334</v>
      </c>
      <c r="B143" s="18" t="s">
        <v>335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336</v>
      </c>
      <c r="B144" s="18" t="s">
        <v>337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338</v>
      </c>
      <c r="B145" s="18" t="s">
        <v>339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340</v>
      </c>
      <c r="B146" s="18" t="s">
        <v>341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342</v>
      </c>
      <c r="B147" s="18" t="s">
        <v>343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344</v>
      </c>
      <c r="B148" s="20" t="s">
        <v>345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346</v>
      </c>
      <c r="B149" s="18" t="s">
        <v>347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348</v>
      </c>
      <c r="B150" s="18" t="s">
        <v>349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350</v>
      </c>
      <c r="B151" s="18" t="s">
        <v>351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352</v>
      </c>
      <c r="B152" s="18" t="s">
        <v>353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354</v>
      </c>
      <c r="B153" s="18" t="s">
        <v>355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356</v>
      </c>
      <c r="B154" s="18" t="s">
        <v>357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358</v>
      </c>
      <c r="B155" s="18" t="s">
        <v>359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360</v>
      </c>
      <c r="B156" s="18" t="s">
        <v>361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362</v>
      </c>
      <c r="B157" s="18" t="s">
        <v>363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364</v>
      </c>
      <c r="B158" s="18" t="s">
        <v>365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366</v>
      </c>
      <c r="B159" s="20" t="s">
        <v>367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368</v>
      </c>
      <c r="B160" s="18" t="s">
        <v>369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370</v>
      </c>
      <c r="B161" s="18" t="s">
        <v>371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372</v>
      </c>
      <c r="B162" s="18" t="s">
        <v>373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374</v>
      </c>
      <c r="B163" s="20" t="s">
        <v>375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376</v>
      </c>
      <c r="B164" s="18" t="s">
        <v>377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378</v>
      </c>
      <c r="B165" s="18" t="s">
        <v>379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380</v>
      </c>
      <c r="B166" s="18" t="s">
        <v>381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382</v>
      </c>
      <c r="B167" s="18" t="s">
        <v>383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384</v>
      </c>
      <c r="B168" s="18" t="s">
        <v>385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386</v>
      </c>
      <c r="B169" s="18" t="s">
        <v>387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388</v>
      </c>
      <c r="B170" s="18" t="s">
        <v>389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390</v>
      </c>
      <c r="B171" s="18" t="s">
        <v>391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392</v>
      </c>
      <c r="B172" s="18" t="s">
        <v>393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394</v>
      </c>
      <c r="B173" s="18" t="s">
        <v>395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396</v>
      </c>
      <c r="B174" s="18" t="s">
        <v>397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398</v>
      </c>
      <c r="B175" s="18" t="s">
        <v>399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400</v>
      </c>
      <c r="B176" s="18" t="s">
        <v>401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402</v>
      </c>
      <c r="B177" s="18" t="s">
        <v>403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404</v>
      </c>
      <c r="B178" s="18" t="s">
        <v>405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406</v>
      </c>
      <c r="B179" s="18" t="s">
        <v>407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408</v>
      </c>
      <c r="B180" s="18" t="s">
        <v>409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410</v>
      </c>
      <c r="B181" s="18" t="s">
        <v>411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412</v>
      </c>
      <c r="B182" s="18" t="s">
        <v>413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414</v>
      </c>
      <c r="B183" s="18" t="s">
        <v>415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416</v>
      </c>
      <c r="B184" s="18" t="s">
        <v>417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418</v>
      </c>
      <c r="B185" s="20" t="s">
        <v>419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420</v>
      </c>
      <c r="B186" s="18" t="s">
        <v>421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422</v>
      </c>
      <c r="B187" s="18" t="s">
        <v>423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424</v>
      </c>
      <c r="B188" s="18" t="s">
        <v>425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426</v>
      </c>
      <c r="B189" s="18" t="s">
        <v>427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428</v>
      </c>
      <c r="B190" s="18" t="s">
        <v>429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430</v>
      </c>
      <c r="B191" s="18" t="s">
        <v>431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432</v>
      </c>
      <c r="B192" s="18" t="s">
        <v>433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434</v>
      </c>
      <c r="B193" s="18" t="s">
        <v>435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436</v>
      </c>
      <c r="B194" s="18" t="s">
        <v>437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438</v>
      </c>
      <c r="B195" s="18" t="s">
        <v>439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440</v>
      </c>
      <c r="B196" s="18" t="s">
        <v>441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442</v>
      </c>
      <c r="B197" s="18" t="s">
        <v>443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444</v>
      </c>
      <c r="B198" s="18" t="s">
        <v>445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446</v>
      </c>
      <c r="B199" s="18" t="s">
        <v>447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448</v>
      </c>
      <c r="B200" s="18" t="s">
        <v>449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450</v>
      </c>
      <c r="B201" s="20" t="s">
        <v>451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452</v>
      </c>
      <c r="B202" s="18" t="s">
        <v>453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454</v>
      </c>
      <c r="B203" s="18" t="s">
        <v>455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456</v>
      </c>
      <c r="B204" s="18" t="s">
        <v>457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458</v>
      </c>
      <c r="B205" s="18" t="s">
        <v>459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460</v>
      </c>
      <c r="B206" s="18" t="s">
        <v>461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462</v>
      </c>
      <c r="B207" s="18" t="s">
        <v>463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464</v>
      </c>
      <c r="B208" s="18" t="s">
        <v>465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466</v>
      </c>
      <c r="B209" s="18" t="s">
        <v>467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468</v>
      </c>
      <c r="B210" s="18" t="s">
        <v>469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470</v>
      </c>
      <c r="B211" s="18" t="s">
        <v>471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472</v>
      </c>
      <c r="B212" s="18" t="s">
        <v>473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474</v>
      </c>
      <c r="B213" s="18" t="s">
        <v>475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476</v>
      </c>
      <c r="B214" s="18" t="s">
        <v>477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478</v>
      </c>
      <c r="B215" s="18" t="s">
        <v>479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480</v>
      </c>
      <c r="B216" s="18" t="s">
        <v>481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482</v>
      </c>
      <c r="B217" s="18" t="s">
        <v>483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484</v>
      </c>
      <c r="B218" s="18" t="s">
        <v>485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486</v>
      </c>
      <c r="B219" s="18" t="s">
        <v>487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488</v>
      </c>
      <c r="B220" s="18" t="s">
        <v>489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490</v>
      </c>
      <c r="B221" s="20" t="s">
        <v>491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492</v>
      </c>
      <c r="B222" s="18" t="s">
        <v>493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494</v>
      </c>
      <c r="B223" s="18" t="s">
        <v>495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496</v>
      </c>
      <c r="B224" s="20" t="s">
        <v>497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498</v>
      </c>
      <c r="B225" s="18" t="s">
        <v>499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500</v>
      </c>
      <c r="B226" s="18" t="s">
        <v>501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502</v>
      </c>
      <c r="B227" s="18" t="s">
        <v>503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504</v>
      </c>
      <c r="B228" s="18" t="s">
        <v>505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506</v>
      </c>
      <c r="B229" s="18" t="s">
        <v>507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508</v>
      </c>
      <c r="B230" s="18" t="s">
        <v>509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510</v>
      </c>
      <c r="B231" s="18" t="s">
        <v>511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512</v>
      </c>
      <c r="B232" s="18" t="s">
        <v>513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514</v>
      </c>
      <c r="B233" s="18" t="s">
        <v>515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516</v>
      </c>
      <c r="B234" s="18" t="s">
        <v>517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518</v>
      </c>
      <c r="B235" s="18" t="s">
        <v>519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520</v>
      </c>
      <c r="B236" s="20" t="s">
        <v>521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522</v>
      </c>
      <c r="B237" s="18" t="s">
        <v>523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524</v>
      </c>
      <c r="B238" s="18" t="s">
        <v>525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526</v>
      </c>
      <c r="B239" s="18" t="s">
        <v>527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528</v>
      </c>
      <c r="B240" s="18" t="s">
        <v>529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530</v>
      </c>
      <c r="B241" s="18" t="s">
        <v>531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532</v>
      </c>
      <c r="B242" s="18" t="s">
        <v>533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534</v>
      </c>
      <c r="B243" s="18" t="s">
        <v>535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536</v>
      </c>
      <c r="B244" s="18" t="s">
        <v>537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538</v>
      </c>
      <c r="B245" s="18" t="s">
        <v>539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540</v>
      </c>
      <c r="B246" s="18" t="s">
        <v>541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542</v>
      </c>
      <c r="B247" s="18" t="s">
        <v>543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544</v>
      </c>
      <c r="B248" s="18" t="s">
        <v>545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546</v>
      </c>
      <c r="B249" s="18" t="s">
        <v>547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548</v>
      </c>
      <c r="B250" s="18" t="s">
        <v>549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550</v>
      </c>
      <c r="B251" s="18" t="s">
        <v>551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552</v>
      </c>
      <c r="B252" s="18" t="s">
        <v>553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554</v>
      </c>
      <c r="B253" s="18" t="s">
        <v>555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556</v>
      </c>
      <c r="B254" s="18" t="s">
        <v>557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558</v>
      </c>
      <c r="B255" s="18" t="s">
        <v>559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560</v>
      </c>
      <c r="B256" s="18" t="s">
        <v>561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562</v>
      </c>
      <c r="B257" s="18" t="s">
        <v>563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564</v>
      </c>
      <c r="B258" s="18" t="s">
        <v>565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566</v>
      </c>
      <c r="B259" s="18" t="s">
        <v>567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568</v>
      </c>
      <c r="B260" s="20" t="s">
        <v>569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570</v>
      </c>
      <c r="B261" s="18" t="s">
        <v>571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572</v>
      </c>
      <c r="B262" s="18" t="s">
        <v>573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574</v>
      </c>
      <c r="B263" s="18" t="s">
        <v>575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576</v>
      </c>
      <c r="B264" s="18" t="s">
        <v>577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578</v>
      </c>
      <c r="B265" s="18" t="s">
        <v>579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580</v>
      </c>
      <c r="B266" s="18" t="s">
        <v>581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582</v>
      </c>
      <c r="B267" s="18" t="s">
        <v>583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584</v>
      </c>
      <c r="B268" s="18" t="s">
        <v>585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586</v>
      </c>
      <c r="B269" s="18" t="s">
        <v>587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588</v>
      </c>
      <c r="B270" s="18" t="s">
        <v>589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590</v>
      </c>
      <c r="B271" s="18" t="s">
        <v>591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592</v>
      </c>
      <c r="B272" s="20" t="s">
        <v>593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594</v>
      </c>
      <c r="B273" s="18" t="s">
        <v>595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596</v>
      </c>
      <c r="B274" s="18" t="s">
        <v>597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598</v>
      </c>
      <c r="B275" s="18" t="s">
        <v>599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600</v>
      </c>
      <c r="B276" s="18" t="s">
        <v>601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602</v>
      </c>
      <c r="B277" s="18" t="s">
        <v>603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604</v>
      </c>
      <c r="B278" s="18" t="s">
        <v>605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606</v>
      </c>
      <c r="B279" s="18" t="s">
        <v>607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608</v>
      </c>
      <c r="B280" s="18" t="s">
        <v>609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610</v>
      </c>
      <c r="B281" s="18" t="s">
        <v>611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612</v>
      </c>
      <c r="B282" s="20" t="s">
        <v>613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614</v>
      </c>
      <c r="B283" s="18" t="s">
        <v>615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616</v>
      </c>
      <c r="B284" s="18" t="s">
        <v>617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618</v>
      </c>
      <c r="B285" s="18" t="s">
        <v>619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620</v>
      </c>
      <c r="B286" s="18" t="s">
        <v>621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622</v>
      </c>
      <c r="B287" s="18" t="s">
        <v>623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624</v>
      </c>
      <c r="B288" s="18" t="s">
        <v>625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626</v>
      </c>
      <c r="B289" s="18" t="s">
        <v>627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628</v>
      </c>
      <c r="B290" s="18" t="s">
        <v>629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630</v>
      </c>
      <c r="B291" s="18" t="s">
        <v>631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632</v>
      </c>
      <c r="B292" s="18" t="s">
        <v>633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634</v>
      </c>
      <c r="B293" s="18" t="s">
        <v>635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636</v>
      </c>
      <c r="B294" s="18" t="s">
        <v>637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638</v>
      </c>
      <c r="B295" s="18" t="s">
        <v>639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640</v>
      </c>
      <c r="B296" s="18" t="s">
        <v>641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642</v>
      </c>
      <c r="B297" s="18" t="s">
        <v>643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644</v>
      </c>
      <c r="B298" s="18" t="s">
        <v>645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646</v>
      </c>
      <c r="B299" s="18" t="s">
        <v>647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648</v>
      </c>
      <c r="B300" s="22" t="s">
        <v>649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650</v>
      </c>
      <c r="B301" s="24" t="s">
        <v>651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652</v>
      </c>
      <c r="B302" s="24" t="s">
        <v>653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654</v>
      </c>
      <c r="B303" s="24" t="s">
        <v>655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656</v>
      </c>
      <c r="B304" s="24" t="s">
        <v>657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658</v>
      </c>
      <c r="B305" s="24" t="s">
        <v>659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660</v>
      </c>
      <c r="B306" s="24" t="s">
        <v>661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662</v>
      </c>
      <c r="B307" s="24" t="s">
        <v>663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664</v>
      </c>
      <c r="B308" s="24" t="s">
        <v>665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666</v>
      </c>
      <c r="B309" s="24" t="s">
        <v>667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668</v>
      </c>
      <c r="B310" s="24" t="s">
        <v>669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670</v>
      </c>
      <c r="B311" s="24" t="s">
        <v>671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672</v>
      </c>
      <c r="B312" s="24" t="s">
        <v>673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674</v>
      </c>
      <c r="B313" s="24" t="s">
        <v>675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676</v>
      </c>
      <c r="B314" s="24" t="s">
        <v>677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678</v>
      </c>
      <c r="B315" s="24" t="s">
        <v>679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680</v>
      </c>
      <c r="B316" s="24" t="s">
        <v>681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682</v>
      </c>
      <c r="B317" s="24" t="s">
        <v>683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684</v>
      </c>
      <c r="B318" s="24" t="s">
        <v>685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686</v>
      </c>
      <c r="B319" s="24" t="s">
        <v>687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688</v>
      </c>
      <c r="B320" s="22" t="s">
        <v>689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690</v>
      </c>
      <c r="B321" s="24" t="s">
        <v>691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692</v>
      </c>
      <c r="B322" s="24" t="s">
        <v>693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694</v>
      </c>
      <c r="B323" s="24" t="s">
        <v>695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696</v>
      </c>
      <c r="B324" s="24" t="s">
        <v>697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698</v>
      </c>
      <c r="B325" s="24" t="s">
        <v>699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700</v>
      </c>
      <c r="B326" s="24" t="s">
        <v>701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702</v>
      </c>
      <c r="B327" s="24" t="s">
        <v>703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704</v>
      </c>
      <c r="B328" s="24" t="s">
        <v>705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706</v>
      </c>
      <c r="B329" s="24" t="s">
        <v>707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708</v>
      </c>
      <c r="B330" s="22" t="s">
        <v>709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710</v>
      </c>
      <c r="B331" s="24" t="s">
        <v>711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712</v>
      </c>
      <c r="B332" s="24" t="s">
        <v>713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714</v>
      </c>
      <c r="B333" s="24" t="s">
        <v>715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716</v>
      </c>
      <c r="B334" s="24" t="s">
        <v>717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718</v>
      </c>
      <c r="B335" s="24" t="s">
        <v>719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720</v>
      </c>
      <c r="B336" s="24" t="s">
        <v>721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63"/>
      <c r="C2" s="75"/>
      <c r="D2" s="63"/>
      <c r="E2" s="63"/>
      <c r="F2" s="2"/>
      <c r="G2" s="71" t="s">
        <v>722</v>
      </c>
      <c r="H2" s="63"/>
      <c r="I2" s="63"/>
      <c r="J2" s="63"/>
      <c r="K2" s="29" t="s">
        <v>23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24</v>
      </c>
      <c r="AI2" s="63"/>
      <c r="AJ2" s="63"/>
      <c r="AK2" s="32"/>
    </row>
    <row r="3" spans="1:37" ht="15" customHeight="1" x14ac:dyDescent="0.2">
      <c r="A3" s="27"/>
      <c r="B3" s="63"/>
      <c r="C3" s="63"/>
      <c r="D3" s="63"/>
      <c r="E3" s="63"/>
      <c r="F3" s="2"/>
      <c r="G3" s="71" t="s">
        <v>25</v>
      </c>
      <c r="H3" s="63"/>
      <c r="I3" s="63"/>
      <c r="J3" s="63"/>
      <c r="K3" s="29" t="s">
        <v>26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ht="15" customHeight="1" x14ac:dyDescent="0.2">
      <c r="A4" s="27"/>
      <c r="B4" s="63"/>
      <c r="C4" s="63"/>
      <c r="D4" s="63"/>
      <c r="E4" s="63"/>
      <c r="F4" s="2"/>
      <c r="G4" s="71" t="s">
        <v>27</v>
      </c>
      <c r="H4" s="63"/>
      <c r="I4" s="63"/>
      <c r="J4" s="63"/>
      <c r="K4" s="29" t="s">
        <v>26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ht="15" customHeight="1" x14ac:dyDescent="0.2">
      <c r="A5" s="27"/>
      <c r="B5" s="63"/>
      <c r="C5" s="63"/>
      <c r="D5" s="63"/>
      <c r="E5" s="63"/>
      <c r="F5" s="2"/>
      <c r="G5" s="71" t="s">
        <v>28</v>
      </c>
      <c r="H5" s="63"/>
      <c r="I5" s="63"/>
      <c r="J5" s="63"/>
      <c r="K5" s="29" t="s">
        <v>26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ht="15" customHeight="1" x14ac:dyDescent="0.2">
      <c r="A6" s="27"/>
      <c r="B6" s="63"/>
      <c r="C6" s="63"/>
      <c r="D6" s="63"/>
      <c r="E6" s="63"/>
      <c r="F6" s="2"/>
      <c r="G6" s="71" t="s">
        <v>29</v>
      </c>
      <c r="H6" s="63"/>
      <c r="I6" s="63"/>
      <c r="J6" s="63"/>
      <c r="K6" s="29" t="s">
        <v>26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ht="15" customHeight="1" x14ac:dyDescent="0.2">
      <c r="A7" s="27"/>
      <c r="B7" s="63"/>
      <c r="C7" s="63"/>
      <c r="D7" s="63"/>
      <c r="E7" s="63"/>
      <c r="F7" s="2"/>
      <c r="G7" s="71" t="s">
        <v>30</v>
      </c>
      <c r="H7" s="63"/>
      <c r="I7" s="63"/>
      <c r="J7" s="63"/>
      <c r="K7" s="29" t="s">
        <v>26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ht="15" customHeight="1" x14ac:dyDescent="0.2">
      <c r="A8" s="27"/>
      <c r="B8" s="63"/>
      <c r="C8" s="2"/>
      <c r="D8" s="2"/>
      <c r="E8" s="2"/>
      <c r="F8" s="2"/>
      <c r="G8" s="2"/>
      <c r="H8" s="2"/>
      <c r="I8" s="35"/>
      <c r="J8" s="72" t="s">
        <v>31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73" t="s">
        <v>32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ht="15" customHeight="1" x14ac:dyDescent="0.2">
      <c r="A10" s="36" t="s">
        <v>33</v>
      </c>
      <c r="B10" s="36" t="s">
        <v>34</v>
      </c>
      <c r="C10" s="36" t="s">
        <v>35</v>
      </c>
      <c r="D10" s="36" t="s">
        <v>36</v>
      </c>
      <c r="E10" s="36" t="s">
        <v>37</v>
      </c>
      <c r="F10" s="36" t="s">
        <v>38</v>
      </c>
      <c r="G10" s="36" t="s">
        <v>39</v>
      </c>
      <c r="H10" s="36" t="s">
        <v>40</v>
      </c>
      <c r="I10" s="36" t="s">
        <v>41</v>
      </c>
      <c r="J10" s="36" t="s">
        <v>42</v>
      </c>
      <c r="K10" s="36" t="s">
        <v>43</v>
      </c>
      <c r="L10" s="36" t="s">
        <v>44</v>
      </c>
      <c r="M10" s="36" t="s">
        <v>45</v>
      </c>
      <c r="N10" s="36" t="s">
        <v>46</v>
      </c>
      <c r="O10" s="36" t="s">
        <v>47</v>
      </c>
      <c r="P10" s="36" t="s">
        <v>48</v>
      </c>
      <c r="Q10" s="36" t="s">
        <v>49</v>
      </c>
      <c r="R10" s="36" t="s">
        <v>50</v>
      </c>
      <c r="S10" s="36" t="s">
        <v>51</v>
      </c>
      <c r="T10" s="36" t="s">
        <v>52</v>
      </c>
      <c r="U10" s="36" t="s">
        <v>53</v>
      </c>
      <c r="V10" s="36" t="s">
        <v>54</v>
      </c>
      <c r="W10" s="36" t="s">
        <v>55</v>
      </c>
      <c r="X10" s="36" t="s">
        <v>56</v>
      </c>
      <c r="Y10" s="36" t="s">
        <v>57</v>
      </c>
      <c r="Z10" s="36" t="s">
        <v>58</v>
      </c>
      <c r="AA10" s="36" t="s">
        <v>59</v>
      </c>
      <c r="AB10" s="36" t="s">
        <v>60</v>
      </c>
      <c r="AC10" s="36" t="s">
        <v>61</v>
      </c>
      <c r="AD10" s="36" t="s">
        <v>62</v>
      </c>
      <c r="AE10" s="36" t="s">
        <v>63</v>
      </c>
      <c r="AF10" s="36" t="s">
        <v>64</v>
      </c>
      <c r="AG10" s="36" t="s">
        <v>65</v>
      </c>
      <c r="AH10" s="36" t="s">
        <v>66</v>
      </c>
      <c r="AI10" s="36" t="s">
        <v>67</v>
      </c>
      <c r="AJ10" s="36" t="s">
        <v>68</v>
      </c>
      <c r="AK10" s="36" t="s">
        <v>69</v>
      </c>
    </row>
    <row r="11" spans="1:37" ht="15" customHeight="1" x14ac:dyDescent="0.2">
      <c r="A11" s="37" t="s">
        <v>70</v>
      </c>
      <c r="B11" s="38" t="s">
        <v>71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72</v>
      </c>
      <c r="B12" s="41" t="s">
        <v>73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74</v>
      </c>
      <c r="B13" s="41" t="s">
        <v>75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76</v>
      </c>
      <c r="B14" s="41" t="s">
        <v>77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78</v>
      </c>
      <c r="B15" s="41" t="s">
        <v>79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80</v>
      </c>
      <c r="B16" s="41" t="s">
        <v>81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723</v>
      </c>
      <c r="B17" s="41" t="s">
        <v>724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725</v>
      </c>
      <c r="B18" s="41" t="s">
        <v>724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82</v>
      </c>
      <c r="B19" s="41" t="s">
        <v>83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84</v>
      </c>
      <c r="B20" s="41" t="s">
        <v>85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86</v>
      </c>
      <c r="B21" s="41" t="s">
        <v>87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88</v>
      </c>
      <c r="B22" s="41" t="s">
        <v>89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90</v>
      </c>
      <c r="B23" s="41" t="s">
        <v>91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726</v>
      </c>
      <c r="B24" s="41" t="s">
        <v>727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92</v>
      </c>
      <c r="B25" s="41" t="s">
        <v>93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94</v>
      </c>
      <c r="B26" s="41" t="s">
        <v>95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96</v>
      </c>
      <c r="B27" s="41" t="s">
        <v>97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98</v>
      </c>
      <c r="B28" s="41" t="s">
        <v>99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100</v>
      </c>
      <c r="B29" s="41" t="s">
        <v>101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102</v>
      </c>
      <c r="B30" s="41" t="s">
        <v>103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104</v>
      </c>
      <c r="B31" s="41" t="s">
        <v>105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106</v>
      </c>
      <c r="B32" s="41" t="s">
        <v>107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108</v>
      </c>
      <c r="B33" s="41" t="s">
        <v>109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110</v>
      </c>
      <c r="B34" s="41" t="s">
        <v>111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112</v>
      </c>
      <c r="B35" s="41" t="s">
        <v>113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114</v>
      </c>
      <c r="B36" s="41" t="s">
        <v>115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116</v>
      </c>
      <c r="B37" s="41" t="s">
        <v>117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118</v>
      </c>
      <c r="B38" s="41" t="s">
        <v>119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120</v>
      </c>
      <c r="B39" s="41" t="s">
        <v>121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122</v>
      </c>
      <c r="B40" s="41" t="s">
        <v>123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124</v>
      </c>
      <c r="B41" s="41" t="s">
        <v>125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126</v>
      </c>
      <c r="B42" s="41" t="s">
        <v>127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128</v>
      </c>
      <c r="B43" s="41" t="s">
        <v>129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130</v>
      </c>
      <c r="B44" s="41" t="s">
        <v>131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132</v>
      </c>
      <c r="B45" s="41" t="s">
        <v>133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728</v>
      </c>
      <c r="B46" s="41" t="s">
        <v>729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134</v>
      </c>
      <c r="B47" s="41" t="s">
        <v>135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136</v>
      </c>
      <c r="B48" s="41" t="s">
        <v>137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138</v>
      </c>
      <c r="B49" s="41" t="s">
        <v>139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140</v>
      </c>
      <c r="B50" s="41" t="s">
        <v>141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142</v>
      </c>
      <c r="B51" s="41" t="s">
        <v>143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730</v>
      </c>
      <c r="B52" s="41" t="s">
        <v>731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144</v>
      </c>
      <c r="B53" s="41" t="s">
        <v>145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732</v>
      </c>
      <c r="B54" s="41" t="s">
        <v>733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150</v>
      </c>
      <c r="B55" s="41" t="s">
        <v>734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152</v>
      </c>
      <c r="B56" s="41" t="s">
        <v>153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154</v>
      </c>
      <c r="B57" s="41" t="s">
        <v>155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156</v>
      </c>
      <c r="B58" s="41" t="s">
        <v>157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158</v>
      </c>
      <c r="B59" s="41" t="s">
        <v>159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160</v>
      </c>
      <c r="B60" s="41" t="s">
        <v>161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162</v>
      </c>
      <c r="B61" s="41" t="s">
        <v>163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164</v>
      </c>
      <c r="B62" s="41" t="s">
        <v>165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166</v>
      </c>
      <c r="B63" s="41" t="s">
        <v>167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168</v>
      </c>
      <c r="B64" s="41" t="s">
        <v>169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170</v>
      </c>
      <c r="B65" s="41" t="s">
        <v>171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172</v>
      </c>
      <c r="B66" s="41" t="s">
        <v>173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174</v>
      </c>
      <c r="B67" s="41" t="s">
        <v>175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176</v>
      </c>
      <c r="B68" s="41" t="s">
        <v>177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178</v>
      </c>
      <c r="B69" s="41" t="s">
        <v>179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180</v>
      </c>
      <c r="B70" s="41" t="s">
        <v>181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182</v>
      </c>
      <c r="B71" s="41" t="s">
        <v>183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184</v>
      </c>
      <c r="B72" s="41" t="s">
        <v>185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186</v>
      </c>
      <c r="B73" s="41" t="s">
        <v>187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188</v>
      </c>
      <c r="B74" s="41" t="s">
        <v>189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190</v>
      </c>
      <c r="B75" s="43" t="s">
        <v>191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192</v>
      </c>
      <c r="B76" s="41" t="s">
        <v>193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194</v>
      </c>
      <c r="B77" s="41" t="s">
        <v>195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196</v>
      </c>
      <c r="B78" s="41" t="s">
        <v>197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198</v>
      </c>
      <c r="B79" s="41" t="s">
        <v>199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200</v>
      </c>
      <c r="B80" s="41" t="s">
        <v>201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202</v>
      </c>
      <c r="B81" s="41" t="s">
        <v>203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204</v>
      </c>
      <c r="B82" s="41" t="s">
        <v>205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206</v>
      </c>
      <c r="B83" s="41" t="s">
        <v>207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208</v>
      </c>
      <c r="B84" s="41" t="s">
        <v>209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210</v>
      </c>
      <c r="B85" s="41" t="s">
        <v>211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212</v>
      </c>
      <c r="B86" s="41" t="s">
        <v>213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214</v>
      </c>
      <c r="B87" s="41" t="s">
        <v>215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216</v>
      </c>
      <c r="B88" s="41" t="s">
        <v>217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218</v>
      </c>
      <c r="B89" s="41" t="s">
        <v>219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220</v>
      </c>
      <c r="B90" s="41" t="s">
        <v>221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222</v>
      </c>
      <c r="B91" s="41" t="s">
        <v>223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224</v>
      </c>
      <c r="B92" s="41" t="s">
        <v>225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226</v>
      </c>
      <c r="B93" s="41" t="s">
        <v>227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228</v>
      </c>
      <c r="B94" s="41" t="s">
        <v>229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230</v>
      </c>
      <c r="B95" s="41" t="s">
        <v>231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232</v>
      </c>
      <c r="B96" s="41" t="s">
        <v>233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234</v>
      </c>
      <c r="B97" s="41" t="s">
        <v>235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236</v>
      </c>
      <c r="B98" s="41" t="s">
        <v>237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238</v>
      </c>
      <c r="B99" s="41" t="s">
        <v>239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240</v>
      </c>
      <c r="B100" s="41" t="s">
        <v>241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242</v>
      </c>
      <c r="B101" s="41" t="s">
        <v>243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244</v>
      </c>
      <c r="B102" s="41" t="s">
        <v>245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246</v>
      </c>
      <c r="B103" s="41" t="s">
        <v>247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248</v>
      </c>
      <c r="B104" s="41" t="s">
        <v>249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250</v>
      </c>
      <c r="B105" s="41" t="s">
        <v>251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252</v>
      </c>
      <c r="B106" s="41" t="s">
        <v>253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254</v>
      </c>
      <c r="B107" s="41" t="s">
        <v>255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256</v>
      </c>
      <c r="B108" s="41" t="s">
        <v>257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258</v>
      </c>
      <c r="B109" s="41" t="s">
        <v>259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260</v>
      </c>
      <c r="B110" s="41" t="s">
        <v>261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262</v>
      </c>
      <c r="B111" s="41" t="s">
        <v>263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264</v>
      </c>
      <c r="B112" s="41" t="s">
        <v>265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266</v>
      </c>
      <c r="B113" s="41" t="s">
        <v>267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268</v>
      </c>
      <c r="B114" s="41" t="s">
        <v>269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270</v>
      </c>
      <c r="B115" s="43" t="s">
        <v>271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272</v>
      </c>
      <c r="B116" s="41" t="s">
        <v>273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274</v>
      </c>
      <c r="B117" s="41" t="s">
        <v>275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276</v>
      </c>
      <c r="B118" s="41" t="s">
        <v>277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278</v>
      </c>
      <c r="B119" s="41" t="s">
        <v>279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280</v>
      </c>
      <c r="B120" s="43" t="s">
        <v>281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282</v>
      </c>
      <c r="B121" s="41" t="s">
        <v>283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284</v>
      </c>
      <c r="B122" s="41" t="s">
        <v>285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286</v>
      </c>
      <c r="B123" s="41" t="s">
        <v>287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288</v>
      </c>
      <c r="B124" s="41" t="s">
        <v>289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290</v>
      </c>
      <c r="B125" s="41" t="s">
        <v>291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292</v>
      </c>
      <c r="B126" s="41" t="s">
        <v>293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294</v>
      </c>
      <c r="B127" s="41" t="s">
        <v>295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296</v>
      </c>
      <c r="B128" s="41" t="s">
        <v>297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298</v>
      </c>
      <c r="B129" s="41" t="s">
        <v>299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300</v>
      </c>
      <c r="B130" s="41" t="s">
        <v>301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302</v>
      </c>
      <c r="B131" s="41" t="s">
        <v>303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304</v>
      </c>
      <c r="B132" s="43" t="s">
        <v>305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306</v>
      </c>
      <c r="B133" s="41" t="s">
        <v>307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308</v>
      </c>
      <c r="B134" s="41" t="s">
        <v>309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310</v>
      </c>
      <c r="B135" s="41" t="s">
        <v>311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312</v>
      </c>
      <c r="B136" s="41" t="s">
        <v>313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314</v>
      </c>
      <c r="B137" s="41" t="s">
        <v>315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316</v>
      </c>
      <c r="B138" s="41" t="s">
        <v>317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318</v>
      </c>
      <c r="B139" s="41" t="s">
        <v>319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320</v>
      </c>
      <c r="B140" s="41" t="s">
        <v>321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322</v>
      </c>
      <c r="B141" s="43" t="s">
        <v>323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324</v>
      </c>
      <c r="B142" s="41" t="s">
        <v>325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326</v>
      </c>
      <c r="B143" s="41" t="s">
        <v>327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328</v>
      </c>
      <c r="B144" s="41" t="s">
        <v>329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330</v>
      </c>
      <c r="B145" s="41" t="s">
        <v>331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332</v>
      </c>
      <c r="B146" s="41" t="s">
        <v>333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334</v>
      </c>
      <c r="B147" s="41" t="s">
        <v>335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336</v>
      </c>
      <c r="B148" s="41" t="s">
        <v>337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338</v>
      </c>
      <c r="B149" s="41" t="s">
        <v>339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340</v>
      </c>
      <c r="B150" s="41" t="s">
        <v>341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342</v>
      </c>
      <c r="B151" s="41" t="s">
        <v>343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344</v>
      </c>
      <c r="B152" s="43" t="s">
        <v>345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346</v>
      </c>
      <c r="B153" s="41" t="s">
        <v>347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348</v>
      </c>
      <c r="B154" s="41" t="s">
        <v>349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350</v>
      </c>
      <c r="B155" s="41" t="s">
        <v>351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352</v>
      </c>
      <c r="B156" s="41" t="s">
        <v>353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354</v>
      </c>
      <c r="B157" s="41" t="s">
        <v>355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356</v>
      </c>
      <c r="B158" s="41" t="s">
        <v>357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358</v>
      </c>
      <c r="B159" s="41" t="s">
        <v>359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360</v>
      </c>
      <c r="B160" s="41" t="s">
        <v>361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362</v>
      </c>
      <c r="B161" s="41" t="s">
        <v>363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364</v>
      </c>
      <c r="B162" s="41" t="s">
        <v>365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366</v>
      </c>
      <c r="B163" s="43" t="s">
        <v>367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368</v>
      </c>
      <c r="B164" s="41" t="s">
        <v>369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370</v>
      </c>
      <c r="B165" s="41" t="s">
        <v>371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372</v>
      </c>
      <c r="B166" s="41" t="s">
        <v>373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374</v>
      </c>
      <c r="B167" s="43" t="s">
        <v>375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376</v>
      </c>
      <c r="B168" s="41" t="s">
        <v>377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378</v>
      </c>
      <c r="B169" s="41" t="s">
        <v>379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380</v>
      </c>
      <c r="B170" s="41" t="s">
        <v>381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382</v>
      </c>
      <c r="B171" s="41" t="s">
        <v>383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384</v>
      </c>
      <c r="B172" s="41" t="s">
        <v>385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386</v>
      </c>
      <c r="B173" s="41" t="s">
        <v>387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388</v>
      </c>
      <c r="B174" s="41" t="s">
        <v>389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390</v>
      </c>
      <c r="B175" s="41" t="s">
        <v>391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392</v>
      </c>
      <c r="B176" s="41" t="s">
        <v>393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394</v>
      </c>
      <c r="B177" s="41" t="s">
        <v>395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396</v>
      </c>
      <c r="B178" s="41" t="s">
        <v>397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398</v>
      </c>
      <c r="B179" s="41" t="s">
        <v>399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400</v>
      </c>
      <c r="B180" s="41" t="s">
        <v>401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402</v>
      </c>
      <c r="B181" s="41" t="s">
        <v>403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404</v>
      </c>
      <c r="B182" s="41" t="s">
        <v>405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406</v>
      </c>
      <c r="B183" s="41" t="s">
        <v>407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408</v>
      </c>
      <c r="B184" s="41" t="s">
        <v>409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410</v>
      </c>
      <c r="B185" s="41" t="s">
        <v>411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412</v>
      </c>
      <c r="B186" s="41" t="s">
        <v>413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414</v>
      </c>
      <c r="B187" s="41" t="s">
        <v>415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416</v>
      </c>
      <c r="B188" s="41" t="s">
        <v>417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418</v>
      </c>
      <c r="B189" s="43" t="s">
        <v>419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420</v>
      </c>
      <c r="B190" s="41" t="s">
        <v>421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422</v>
      </c>
      <c r="B191" s="41" t="s">
        <v>423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424</v>
      </c>
      <c r="B192" s="41" t="s">
        <v>425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426</v>
      </c>
      <c r="B193" s="41" t="s">
        <v>427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428</v>
      </c>
      <c r="B194" s="41" t="s">
        <v>429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430</v>
      </c>
      <c r="B195" s="41" t="s">
        <v>431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432</v>
      </c>
      <c r="B196" s="41" t="s">
        <v>433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434</v>
      </c>
      <c r="B197" s="41" t="s">
        <v>435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436</v>
      </c>
      <c r="B198" s="41" t="s">
        <v>437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438</v>
      </c>
      <c r="B199" s="41" t="s">
        <v>439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735</v>
      </c>
      <c r="B200" s="41" t="s">
        <v>736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737</v>
      </c>
      <c r="B201" s="41" t="s">
        <v>738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739</v>
      </c>
      <c r="B202" s="41" t="s">
        <v>740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442</v>
      </c>
      <c r="B203" s="41" t="s">
        <v>443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444</v>
      </c>
      <c r="B204" s="41" t="s">
        <v>445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446</v>
      </c>
      <c r="B205" s="41" t="s">
        <v>447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741</v>
      </c>
      <c r="B206" s="41" t="s">
        <v>742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448</v>
      </c>
      <c r="B207" s="41" t="s">
        <v>449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450</v>
      </c>
      <c r="B208" s="43" t="s">
        <v>451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452</v>
      </c>
      <c r="B209" s="41" t="s">
        <v>453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454</v>
      </c>
      <c r="B210" s="41" t="s">
        <v>455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456</v>
      </c>
      <c r="B211" s="41" t="s">
        <v>457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458</v>
      </c>
      <c r="B212" s="41" t="s">
        <v>459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460</v>
      </c>
      <c r="B213" s="41" t="s">
        <v>461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462</v>
      </c>
      <c r="B214" s="41" t="s">
        <v>463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464</v>
      </c>
      <c r="B215" s="41" t="s">
        <v>465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466</v>
      </c>
      <c r="B216" s="41" t="s">
        <v>467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468</v>
      </c>
      <c r="B217" s="41" t="s">
        <v>469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470</v>
      </c>
      <c r="B218" s="41" t="s">
        <v>471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472</v>
      </c>
      <c r="B219" s="41" t="s">
        <v>473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474</v>
      </c>
      <c r="B220" s="41" t="s">
        <v>475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476</v>
      </c>
      <c r="B221" s="41" t="s">
        <v>477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478</v>
      </c>
      <c r="B222" s="41" t="s">
        <v>479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480</v>
      </c>
      <c r="B223" s="41" t="s">
        <v>481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482</v>
      </c>
      <c r="B224" s="41" t="s">
        <v>483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484</v>
      </c>
      <c r="B225" s="41" t="s">
        <v>485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486</v>
      </c>
      <c r="B226" s="41" t="s">
        <v>487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488</v>
      </c>
      <c r="B227" s="41" t="s">
        <v>489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490</v>
      </c>
      <c r="B228" s="43" t="s">
        <v>491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492</v>
      </c>
      <c r="B229" s="41" t="s">
        <v>493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494</v>
      </c>
      <c r="B230" s="41" t="s">
        <v>495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496</v>
      </c>
      <c r="B231" s="43" t="s">
        <v>497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498</v>
      </c>
      <c r="B232" s="41" t="s">
        <v>499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500</v>
      </c>
      <c r="B233" s="41" t="s">
        <v>501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502</v>
      </c>
      <c r="B234" s="41" t="s">
        <v>503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504</v>
      </c>
      <c r="B235" s="41" t="s">
        <v>505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506</v>
      </c>
      <c r="B236" s="41" t="s">
        <v>507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508</v>
      </c>
      <c r="B237" s="41" t="s">
        <v>509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510</v>
      </c>
      <c r="B238" s="41" t="s">
        <v>511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512</v>
      </c>
      <c r="B239" s="41" t="s">
        <v>513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514</v>
      </c>
      <c r="B240" s="41" t="s">
        <v>515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516</v>
      </c>
      <c r="B241" s="41" t="s">
        <v>517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518</v>
      </c>
      <c r="B242" s="41" t="s">
        <v>519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520</v>
      </c>
      <c r="B243" s="43" t="s">
        <v>521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522</v>
      </c>
      <c r="B244" s="41" t="s">
        <v>523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524</v>
      </c>
      <c r="B245" s="41" t="s">
        <v>525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526</v>
      </c>
      <c r="B246" s="41" t="s">
        <v>527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528</v>
      </c>
      <c r="B247" s="41" t="s">
        <v>529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530</v>
      </c>
      <c r="B248" s="41" t="s">
        <v>531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532</v>
      </c>
      <c r="B249" s="41" t="s">
        <v>533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534</v>
      </c>
      <c r="B250" s="41" t="s">
        <v>535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743</v>
      </c>
      <c r="B251" s="41" t="s">
        <v>744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536</v>
      </c>
      <c r="B252" s="41" t="s">
        <v>537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538</v>
      </c>
      <c r="B253" s="41" t="s">
        <v>539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540</v>
      </c>
      <c r="B254" s="41" t="s">
        <v>541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542</v>
      </c>
      <c r="B255" s="41" t="s">
        <v>543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544</v>
      </c>
      <c r="B256" s="41" t="s">
        <v>545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546</v>
      </c>
      <c r="B257" s="41" t="s">
        <v>547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548</v>
      </c>
      <c r="B258" s="41" t="s">
        <v>549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550</v>
      </c>
      <c r="B259" s="41" t="s">
        <v>551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552</v>
      </c>
      <c r="B260" s="41" t="s">
        <v>553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554</v>
      </c>
      <c r="B261" s="41" t="s">
        <v>555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556</v>
      </c>
      <c r="B262" s="41" t="s">
        <v>557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558</v>
      </c>
      <c r="B263" s="41" t="s">
        <v>559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560</v>
      </c>
      <c r="B264" s="41" t="s">
        <v>561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562</v>
      </c>
      <c r="B265" s="41" t="s">
        <v>563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564</v>
      </c>
      <c r="B266" s="41" t="s">
        <v>565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566</v>
      </c>
      <c r="B267" s="41" t="s">
        <v>567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568</v>
      </c>
      <c r="B268" s="43" t="s">
        <v>569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570</v>
      </c>
      <c r="B269" s="41" t="s">
        <v>571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572</v>
      </c>
      <c r="B270" s="41" t="s">
        <v>573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574</v>
      </c>
      <c r="B271" s="41" t="s">
        <v>575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576</v>
      </c>
      <c r="B272" s="41" t="s">
        <v>577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578</v>
      </c>
      <c r="B273" s="41" t="s">
        <v>579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580</v>
      </c>
      <c r="B274" s="41" t="s">
        <v>581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582</v>
      </c>
      <c r="B275" s="41" t="s">
        <v>583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584</v>
      </c>
      <c r="B276" s="41" t="s">
        <v>585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586</v>
      </c>
      <c r="B277" s="41" t="s">
        <v>587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588</v>
      </c>
      <c r="B278" s="41" t="s">
        <v>589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590</v>
      </c>
      <c r="B279" s="41" t="s">
        <v>591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592</v>
      </c>
      <c r="B280" s="43" t="s">
        <v>593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594</v>
      </c>
      <c r="B281" s="41" t="s">
        <v>595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596</v>
      </c>
      <c r="B282" s="41" t="s">
        <v>597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598</v>
      </c>
      <c r="B283" s="41" t="s">
        <v>599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600</v>
      </c>
      <c r="B284" s="41" t="s">
        <v>601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602</v>
      </c>
      <c r="B285" s="41" t="s">
        <v>603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604</v>
      </c>
      <c r="B286" s="41" t="s">
        <v>605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606</v>
      </c>
      <c r="B287" s="41" t="s">
        <v>607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608</v>
      </c>
      <c r="B288" s="41" t="s">
        <v>609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610</v>
      </c>
      <c r="B289" s="41" t="s">
        <v>611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612</v>
      </c>
      <c r="B290" s="43" t="s">
        <v>613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614</v>
      </c>
      <c r="B291" s="41" t="s">
        <v>615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616</v>
      </c>
      <c r="B292" s="41" t="s">
        <v>617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618</v>
      </c>
      <c r="B293" s="41" t="s">
        <v>619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620</v>
      </c>
      <c r="B294" s="41" t="s">
        <v>621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622</v>
      </c>
      <c r="B295" s="41" t="s">
        <v>623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624</v>
      </c>
      <c r="B296" s="41" t="s">
        <v>625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626</v>
      </c>
      <c r="B297" s="41" t="s">
        <v>627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628</v>
      </c>
      <c r="B298" s="41" t="s">
        <v>629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630</v>
      </c>
      <c r="B299" s="41" t="s">
        <v>631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632</v>
      </c>
      <c r="B300" s="41" t="s">
        <v>633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634</v>
      </c>
      <c r="B301" s="41" t="s">
        <v>635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636</v>
      </c>
      <c r="B302" s="41" t="s">
        <v>637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638</v>
      </c>
      <c r="B303" s="41" t="s">
        <v>639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640</v>
      </c>
      <c r="B304" s="41" t="s">
        <v>641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642</v>
      </c>
      <c r="B305" s="41" t="s">
        <v>643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644</v>
      </c>
      <c r="B306" s="41" t="s">
        <v>645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646</v>
      </c>
      <c r="B307" s="41" t="s">
        <v>647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648</v>
      </c>
      <c r="B308" s="45" t="s">
        <v>649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650</v>
      </c>
      <c r="B309" s="47" t="s">
        <v>651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652</v>
      </c>
      <c r="B310" s="47" t="s">
        <v>653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654</v>
      </c>
      <c r="B311" s="47" t="s">
        <v>655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656</v>
      </c>
      <c r="B312" s="47" t="s">
        <v>657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658</v>
      </c>
      <c r="B313" s="47" t="s">
        <v>659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660</v>
      </c>
      <c r="B314" s="47" t="s">
        <v>661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662</v>
      </c>
      <c r="B315" s="47" t="s">
        <v>663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664</v>
      </c>
      <c r="B316" s="47" t="s">
        <v>665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666</v>
      </c>
      <c r="B317" s="47" t="s">
        <v>667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668</v>
      </c>
      <c r="B318" s="47" t="s">
        <v>669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670</v>
      </c>
      <c r="B319" s="47" t="s">
        <v>671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745</v>
      </c>
      <c r="B320" s="47" t="s">
        <v>746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672</v>
      </c>
      <c r="B321" s="47" t="s">
        <v>673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674</v>
      </c>
      <c r="B322" s="47" t="s">
        <v>675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676</v>
      </c>
      <c r="B323" s="47" t="s">
        <v>677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678</v>
      </c>
      <c r="B324" s="47" t="s">
        <v>679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680</v>
      </c>
      <c r="B325" s="47" t="s">
        <v>681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682</v>
      </c>
      <c r="B326" s="47" t="s">
        <v>683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684</v>
      </c>
      <c r="B327" s="47" t="s">
        <v>685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686</v>
      </c>
      <c r="B328" s="47" t="s">
        <v>687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688</v>
      </c>
      <c r="B329" s="45" t="s">
        <v>689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690</v>
      </c>
      <c r="B330" s="47" t="s">
        <v>691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692</v>
      </c>
      <c r="B331" s="47" t="s">
        <v>693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694</v>
      </c>
      <c r="B332" s="47" t="s">
        <v>695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696</v>
      </c>
      <c r="B333" s="47" t="s">
        <v>697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698</v>
      </c>
      <c r="B334" s="47" t="s">
        <v>699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700</v>
      </c>
      <c r="B335" s="47" t="s">
        <v>701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702</v>
      </c>
      <c r="B336" s="47" t="s">
        <v>703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704</v>
      </c>
      <c r="B337" s="47" t="s">
        <v>705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706</v>
      </c>
      <c r="B338" s="47" t="s">
        <v>707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708</v>
      </c>
      <c r="B339" s="45" t="s">
        <v>709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710</v>
      </c>
      <c r="B340" s="47" t="s">
        <v>711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712</v>
      </c>
      <c r="B341" s="47" t="s">
        <v>713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714</v>
      </c>
      <c r="B342" s="47" t="s">
        <v>715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716</v>
      </c>
      <c r="B343" s="47" t="s">
        <v>717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718</v>
      </c>
      <c r="B344" s="47" t="s">
        <v>719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720</v>
      </c>
      <c r="B345" s="47" t="s">
        <v>721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08"/>
  <sheetViews>
    <sheetView tabSelected="1" zoomScale="115" zoomScaleNormal="115" workbookViewId="0">
      <selection activeCell="J13" sqref="J13:M13"/>
    </sheetView>
  </sheetViews>
  <sheetFormatPr defaultColWidth="12.7109375" defaultRowHeight="15" customHeight="1" x14ac:dyDescent="0.2"/>
  <cols>
    <col min="1" max="1" width="28" customWidth="1"/>
    <col min="2" max="8" width="6.85546875" customWidth="1"/>
    <col min="9" max="9" width="8" customWidth="1"/>
    <col min="10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 x14ac:dyDescent="0.2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769</v>
      </c>
      <c r="V1" s="96"/>
      <c r="W1" s="96"/>
      <c r="X1" s="96"/>
      <c r="Y1" s="96"/>
    </row>
    <row r="2" spans="1:25" ht="15.75" customHeight="1" x14ac:dyDescent="0.2">
      <c r="A2" s="93"/>
      <c r="B2" s="50"/>
      <c r="C2" s="50"/>
      <c r="D2" s="91" t="s">
        <v>766</v>
      </c>
      <c r="E2" s="91"/>
      <c r="F2" s="91"/>
      <c r="G2" s="57"/>
      <c r="H2" s="57" t="s">
        <v>767</v>
      </c>
      <c r="I2" s="57"/>
      <c r="J2" s="59"/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ht="15.75" customHeight="1" x14ac:dyDescent="0.2">
      <c r="A3" s="93"/>
      <c r="B3" s="50"/>
      <c r="C3" s="50"/>
      <c r="D3" s="57" t="s">
        <v>770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ht="15.75" customHeight="1" x14ac:dyDescent="0.2">
      <c r="A4" s="93"/>
      <c r="B4" s="50"/>
      <c r="C4" s="50"/>
      <c r="D4" s="57" t="s">
        <v>768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ht="15.75" customHeight="1" x14ac:dyDescent="0.2">
      <c r="A5" s="93"/>
      <c r="B5" s="50"/>
      <c r="C5" s="50"/>
      <c r="D5" s="97" t="s">
        <v>765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ht="15.75" customHeight="1" x14ac:dyDescent="0.2">
      <c r="A6" s="93"/>
      <c r="B6" s="50"/>
      <c r="C6" s="50"/>
      <c r="D6" s="91" t="s">
        <v>27</v>
      </c>
      <c r="E6" s="91"/>
      <c r="F6" s="91"/>
      <c r="G6" s="60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ht="15.75" customHeight="1" x14ac:dyDescent="0.2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ht="25.9" customHeight="1" x14ac:dyDescent="0.2">
      <c r="A8" s="98" t="s">
        <v>748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ht="15.75" customHeight="1" x14ac:dyDescent="0.2">
      <c r="A9" s="94" t="s">
        <v>749</v>
      </c>
      <c r="B9" s="81"/>
      <c r="C9" s="81"/>
      <c r="D9" s="82"/>
      <c r="E9" s="86" t="s">
        <v>747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750</v>
      </c>
      <c r="R9" s="81"/>
      <c r="S9" s="81"/>
      <c r="T9" s="82"/>
      <c r="U9" s="80" t="s">
        <v>21</v>
      </c>
      <c r="V9" s="81"/>
      <c r="W9" s="81"/>
      <c r="X9" s="81"/>
      <c r="Y9" s="82"/>
    </row>
    <row r="10" spans="1:25" ht="15.75" customHeight="1" x14ac:dyDescent="0.2">
      <c r="A10" s="83"/>
      <c r="B10" s="84"/>
      <c r="C10" s="84"/>
      <c r="D10" s="85"/>
      <c r="E10" s="101" t="s">
        <v>751</v>
      </c>
      <c r="F10" s="87"/>
      <c r="G10" s="87"/>
      <c r="H10" s="88"/>
      <c r="I10" s="86" t="s">
        <v>752</v>
      </c>
      <c r="J10" s="87"/>
      <c r="K10" s="87"/>
      <c r="L10" s="88"/>
      <c r="M10" s="86" t="s">
        <v>753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ht="42.6" customHeight="1" x14ac:dyDescent="0.2">
      <c r="A11" s="102" t="s">
        <v>4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ht="15.75" customHeight="1" x14ac:dyDescent="0.2">
      <c r="A12" s="77" t="s">
        <v>754</v>
      </c>
      <c r="B12" s="94" t="s">
        <v>761</v>
      </c>
      <c r="C12" s="103"/>
      <c r="D12" s="103"/>
      <c r="E12" s="104"/>
      <c r="F12" s="86" t="s">
        <v>755</v>
      </c>
      <c r="G12" s="87"/>
      <c r="H12" s="87"/>
      <c r="I12" s="87"/>
      <c r="J12" s="87"/>
      <c r="K12" s="87"/>
      <c r="L12" s="87"/>
      <c r="M12" s="88"/>
      <c r="N12" s="94" t="s">
        <v>762</v>
      </c>
      <c r="O12" s="103"/>
      <c r="P12" s="103"/>
      <c r="Q12" s="104"/>
      <c r="R12" s="94" t="s">
        <v>763</v>
      </c>
      <c r="S12" s="103"/>
      <c r="T12" s="103"/>
      <c r="U12" s="104"/>
      <c r="V12" s="94" t="s">
        <v>764</v>
      </c>
      <c r="W12" s="103"/>
      <c r="X12" s="103"/>
      <c r="Y12" s="104"/>
    </row>
    <row r="13" spans="1:25" ht="15.75" customHeight="1" x14ac:dyDescent="0.2">
      <c r="A13" s="78"/>
      <c r="B13" s="105"/>
      <c r="C13" s="106"/>
      <c r="D13" s="106"/>
      <c r="E13" s="107"/>
      <c r="F13" s="108" t="s">
        <v>756</v>
      </c>
      <c r="G13" s="109"/>
      <c r="H13" s="109"/>
      <c r="I13" s="110"/>
      <c r="J13" s="108" t="s">
        <v>757</v>
      </c>
      <c r="K13" s="109"/>
      <c r="L13" s="109"/>
      <c r="M13" s="110"/>
      <c r="N13" s="105"/>
      <c r="O13" s="106"/>
      <c r="P13" s="106"/>
      <c r="Q13" s="107"/>
      <c r="R13" s="105"/>
      <c r="S13" s="106"/>
      <c r="T13" s="106"/>
      <c r="U13" s="107"/>
      <c r="V13" s="105"/>
      <c r="W13" s="106"/>
      <c r="X13" s="106"/>
      <c r="Y13" s="107"/>
    </row>
    <row r="14" spans="1:25" ht="15.75" customHeight="1" x14ac:dyDescent="0.2">
      <c r="A14" s="78"/>
      <c r="B14" s="86" t="s">
        <v>747</v>
      </c>
      <c r="C14" s="87"/>
      <c r="D14" s="88"/>
      <c r="E14" s="89" t="s">
        <v>0</v>
      </c>
      <c r="F14" s="86" t="s">
        <v>747</v>
      </c>
      <c r="G14" s="87"/>
      <c r="H14" s="88"/>
      <c r="I14" s="89" t="s">
        <v>0</v>
      </c>
      <c r="J14" s="86" t="s">
        <v>747</v>
      </c>
      <c r="K14" s="87"/>
      <c r="L14" s="88"/>
      <c r="M14" s="89" t="s">
        <v>0</v>
      </c>
      <c r="N14" s="86" t="s">
        <v>747</v>
      </c>
      <c r="O14" s="87"/>
      <c r="P14" s="88"/>
      <c r="Q14" s="89" t="s">
        <v>0</v>
      </c>
      <c r="R14" s="86" t="s">
        <v>747</v>
      </c>
      <c r="S14" s="87"/>
      <c r="T14" s="88"/>
      <c r="U14" s="89" t="s">
        <v>0</v>
      </c>
      <c r="V14" s="86" t="s">
        <v>747</v>
      </c>
      <c r="W14" s="87"/>
      <c r="X14" s="88"/>
      <c r="Y14" s="89" t="s">
        <v>0</v>
      </c>
    </row>
    <row r="15" spans="1:25" ht="15.75" customHeight="1" x14ac:dyDescent="0.2">
      <c r="A15" s="79"/>
      <c r="B15" s="52" t="s">
        <v>1</v>
      </c>
      <c r="C15" s="51" t="s">
        <v>2</v>
      </c>
      <c r="D15" s="51" t="s">
        <v>3</v>
      </c>
      <c r="E15" s="79"/>
      <c r="F15" s="52" t="s">
        <v>1</v>
      </c>
      <c r="G15" s="51" t="s">
        <v>2</v>
      </c>
      <c r="H15" s="51" t="s">
        <v>3</v>
      </c>
      <c r="I15" s="79"/>
      <c r="J15" s="52" t="s">
        <v>1</v>
      </c>
      <c r="K15" s="51" t="s">
        <v>2</v>
      </c>
      <c r="L15" s="51" t="s">
        <v>3</v>
      </c>
      <c r="M15" s="79"/>
      <c r="N15" s="52" t="s">
        <v>1</v>
      </c>
      <c r="O15" s="51" t="s">
        <v>2</v>
      </c>
      <c r="P15" s="51" t="s">
        <v>3</v>
      </c>
      <c r="Q15" s="79"/>
      <c r="R15" s="52" t="s">
        <v>1</v>
      </c>
      <c r="S15" s="51" t="s">
        <v>2</v>
      </c>
      <c r="T15" s="51" t="s">
        <v>3</v>
      </c>
      <c r="U15" s="79"/>
      <c r="V15" s="52" t="s">
        <v>1</v>
      </c>
      <c r="W15" s="51" t="s">
        <v>2</v>
      </c>
      <c r="X15" s="51" t="s">
        <v>3</v>
      </c>
      <c r="Y15" s="79"/>
    </row>
    <row r="16" spans="1:25" ht="15.75" customHeight="1" x14ac:dyDescent="0.2">
      <c r="A16" s="53" t="s">
        <v>19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ht="15.75" customHeight="1" x14ac:dyDescent="0.2">
      <c r="A17" s="53" t="s">
        <v>20</v>
      </c>
      <c r="B17" s="54"/>
      <c r="C17" s="54"/>
      <c r="D17" s="54"/>
      <c r="E17" s="55">
        <f t="shared" ref="E17:E33" si="0">SUM(B17:D17)</f>
        <v>0</v>
      </c>
      <c r="F17" s="54"/>
      <c r="G17" s="54"/>
      <c r="H17" s="54"/>
      <c r="I17" s="55">
        <f t="shared" ref="I17:I33" si="1">SUM(F17:H17)</f>
        <v>0</v>
      </c>
      <c r="J17" s="54"/>
      <c r="K17" s="54"/>
      <c r="L17" s="54"/>
      <c r="M17" s="55">
        <f t="shared" ref="M17:M33" si="2">SUM(J17:L17)</f>
        <v>0</v>
      </c>
      <c r="N17" s="54"/>
      <c r="O17" s="54"/>
      <c r="P17" s="54"/>
      <c r="Q17" s="55">
        <f t="shared" ref="Q17:Q33" si="3">SUM(N17:P17)</f>
        <v>0</v>
      </c>
      <c r="R17" s="54">
        <f t="shared" ref="R17:R33" si="4">SUM(B17,F17,J17-N17)</f>
        <v>0</v>
      </c>
      <c r="S17" s="54">
        <f t="shared" ref="S17:S33" si="5">SUM(C17,G17,K17-O17)</f>
        <v>0</v>
      </c>
      <c r="T17" s="54">
        <f t="shared" ref="T17:T33" si="6">SUM(D17,H17,L17-P17)</f>
        <v>0</v>
      </c>
      <c r="U17" s="55">
        <f t="shared" ref="U17:U33" si="7">SUM(R17:T17)</f>
        <v>0</v>
      </c>
      <c r="V17" s="54"/>
      <c r="W17" s="54"/>
      <c r="X17" s="54"/>
      <c r="Y17" s="55">
        <f t="shared" ref="Y17:Y33" si="8">SUM(V17:X17)</f>
        <v>0</v>
      </c>
    </row>
    <row r="18" spans="1:25" ht="15.75" customHeight="1" x14ac:dyDescent="0.2">
      <c r="A18" s="53" t="s">
        <v>5</v>
      </c>
      <c r="B18" s="54"/>
      <c r="C18" s="54"/>
      <c r="D18" s="54"/>
      <c r="E18" s="55">
        <f t="shared" si="0"/>
        <v>0</v>
      </c>
      <c r="F18" s="54"/>
      <c r="G18" s="54"/>
      <c r="H18" s="54"/>
      <c r="I18" s="55">
        <f t="shared" si="1"/>
        <v>0</v>
      </c>
      <c r="J18" s="54"/>
      <c r="K18" s="54"/>
      <c r="L18" s="54"/>
      <c r="M18" s="55">
        <f t="shared" si="2"/>
        <v>0</v>
      </c>
      <c r="N18" s="54"/>
      <c r="O18" s="54"/>
      <c r="P18" s="54"/>
      <c r="Q18" s="55">
        <f t="shared" si="3"/>
        <v>0</v>
      </c>
      <c r="R18" s="54">
        <f t="shared" si="4"/>
        <v>0</v>
      </c>
      <c r="S18" s="54">
        <f t="shared" si="5"/>
        <v>0</v>
      </c>
      <c r="T18" s="54">
        <f t="shared" si="6"/>
        <v>0</v>
      </c>
      <c r="U18" s="55">
        <f t="shared" si="7"/>
        <v>0</v>
      </c>
      <c r="V18" s="54"/>
      <c r="W18" s="54"/>
      <c r="X18" s="54"/>
      <c r="Y18" s="55">
        <f t="shared" si="8"/>
        <v>0</v>
      </c>
    </row>
    <row r="19" spans="1:25" ht="15.75" customHeight="1" x14ac:dyDescent="0.2">
      <c r="A19" s="53" t="s">
        <v>6</v>
      </c>
      <c r="B19" s="54"/>
      <c r="C19" s="54"/>
      <c r="D19" s="54"/>
      <c r="E19" s="55">
        <f t="shared" si="0"/>
        <v>0</v>
      </c>
      <c r="F19" s="54"/>
      <c r="G19" s="54"/>
      <c r="H19" s="54"/>
      <c r="I19" s="55">
        <f t="shared" si="1"/>
        <v>0</v>
      </c>
      <c r="J19" s="54"/>
      <c r="K19" s="54"/>
      <c r="L19" s="54"/>
      <c r="M19" s="55">
        <f t="shared" si="2"/>
        <v>0</v>
      </c>
      <c r="N19" s="54"/>
      <c r="O19" s="54"/>
      <c r="P19" s="54"/>
      <c r="Q19" s="55">
        <f t="shared" si="3"/>
        <v>0</v>
      </c>
      <c r="R19" s="54">
        <f t="shared" si="4"/>
        <v>0</v>
      </c>
      <c r="S19" s="54">
        <f t="shared" si="5"/>
        <v>0</v>
      </c>
      <c r="T19" s="54">
        <f t="shared" si="6"/>
        <v>0</v>
      </c>
      <c r="U19" s="55">
        <f t="shared" si="7"/>
        <v>0</v>
      </c>
      <c r="V19" s="54"/>
      <c r="W19" s="54"/>
      <c r="X19" s="54"/>
      <c r="Y19" s="55">
        <f t="shared" si="8"/>
        <v>0</v>
      </c>
    </row>
    <row r="20" spans="1:25" ht="15.75" customHeight="1" x14ac:dyDescent="0.2">
      <c r="A20" s="53" t="s">
        <v>7</v>
      </c>
      <c r="B20" s="54"/>
      <c r="C20" s="54"/>
      <c r="D20" s="54"/>
      <c r="E20" s="55">
        <f t="shared" si="0"/>
        <v>0</v>
      </c>
      <c r="F20" s="54"/>
      <c r="G20" s="54"/>
      <c r="H20" s="54"/>
      <c r="I20" s="55">
        <f t="shared" si="1"/>
        <v>0</v>
      </c>
      <c r="J20" s="54"/>
      <c r="K20" s="54"/>
      <c r="L20" s="54"/>
      <c r="M20" s="55">
        <f t="shared" si="2"/>
        <v>0</v>
      </c>
      <c r="N20" s="54"/>
      <c r="O20" s="54"/>
      <c r="P20" s="54"/>
      <c r="Q20" s="55">
        <f t="shared" si="3"/>
        <v>0</v>
      </c>
      <c r="R20" s="54">
        <f t="shared" si="4"/>
        <v>0</v>
      </c>
      <c r="S20" s="54">
        <f t="shared" si="5"/>
        <v>0</v>
      </c>
      <c r="T20" s="54">
        <f t="shared" si="6"/>
        <v>0</v>
      </c>
      <c r="U20" s="55">
        <f t="shared" si="7"/>
        <v>0</v>
      </c>
      <c r="V20" s="54"/>
      <c r="W20" s="54"/>
      <c r="X20" s="54"/>
      <c r="Y20" s="55">
        <f t="shared" si="8"/>
        <v>0</v>
      </c>
    </row>
    <row r="21" spans="1:25" ht="15.75" customHeight="1" x14ac:dyDescent="0.2">
      <c r="A21" s="53" t="s">
        <v>8</v>
      </c>
      <c r="B21" s="54"/>
      <c r="C21" s="54"/>
      <c r="D21" s="54"/>
      <c r="E21" s="55">
        <f t="shared" si="0"/>
        <v>0</v>
      </c>
      <c r="F21" s="54"/>
      <c r="G21" s="54"/>
      <c r="H21" s="54"/>
      <c r="I21" s="55">
        <f t="shared" si="1"/>
        <v>0</v>
      </c>
      <c r="J21" s="54"/>
      <c r="K21" s="54"/>
      <c r="L21" s="54"/>
      <c r="M21" s="55">
        <f t="shared" si="2"/>
        <v>0</v>
      </c>
      <c r="N21" s="54"/>
      <c r="O21" s="54"/>
      <c r="P21" s="54"/>
      <c r="Q21" s="55">
        <f t="shared" si="3"/>
        <v>0</v>
      </c>
      <c r="R21" s="54">
        <f t="shared" si="4"/>
        <v>0</v>
      </c>
      <c r="S21" s="54">
        <f t="shared" si="5"/>
        <v>0</v>
      </c>
      <c r="T21" s="54">
        <f t="shared" si="6"/>
        <v>0</v>
      </c>
      <c r="U21" s="55">
        <f t="shared" si="7"/>
        <v>0</v>
      </c>
      <c r="V21" s="54"/>
      <c r="W21" s="54"/>
      <c r="X21" s="54"/>
      <c r="Y21" s="55">
        <f t="shared" si="8"/>
        <v>0</v>
      </c>
    </row>
    <row r="22" spans="1:25" ht="15.75" customHeight="1" x14ac:dyDescent="0.2">
      <c r="A22" s="53" t="s">
        <v>9</v>
      </c>
      <c r="B22" s="54"/>
      <c r="C22" s="54"/>
      <c r="D22" s="54"/>
      <c r="E22" s="55">
        <f t="shared" si="0"/>
        <v>0</v>
      </c>
      <c r="F22" s="54"/>
      <c r="G22" s="54"/>
      <c r="H22" s="54"/>
      <c r="I22" s="55">
        <f t="shared" si="1"/>
        <v>0</v>
      </c>
      <c r="J22" s="54"/>
      <c r="K22" s="54"/>
      <c r="L22" s="54"/>
      <c r="M22" s="55">
        <f t="shared" si="2"/>
        <v>0</v>
      </c>
      <c r="N22" s="54"/>
      <c r="O22" s="54"/>
      <c r="P22" s="54"/>
      <c r="Q22" s="55">
        <f t="shared" si="3"/>
        <v>0</v>
      </c>
      <c r="R22" s="54">
        <f t="shared" si="4"/>
        <v>0</v>
      </c>
      <c r="S22" s="54">
        <f t="shared" si="5"/>
        <v>0</v>
      </c>
      <c r="T22" s="54">
        <f t="shared" si="6"/>
        <v>0</v>
      </c>
      <c r="U22" s="55">
        <f t="shared" si="7"/>
        <v>0</v>
      </c>
      <c r="V22" s="54"/>
      <c r="W22" s="54"/>
      <c r="X22" s="54"/>
      <c r="Y22" s="55">
        <f t="shared" si="8"/>
        <v>0</v>
      </c>
    </row>
    <row r="23" spans="1:25" ht="15.75" customHeight="1" x14ac:dyDescent="0.2">
      <c r="A23" s="53" t="s">
        <v>10</v>
      </c>
      <c r="B23" s="54"/>
      <c r="C23" s="54"/>
      <c r="D23" s="54"/>
      <c r="E23" s="55">
        <f t="shared" si="0"/>
        <v>0</v>
      </c>
      <c r="F23" s="54"/>
      <c r="G23" s="54"/>
      <c r="H23" s="54"/>
      <c r="I23" s="55">
        <f t="shared" si="1"/>
        <v>0</v>
      </c>
      <c r="J23" s="54"/>
      <c r="K23" s="54"/>
      <c r="L23" s="54"/>
      <c r="M23" s="55">
        <f t="shared" si="2"/>
        <v>0</v>
      </c>
      <c r="N23" s="54"/>
      <c r="O23" s="54"/>
      <c r="P23" s="54"/>
      <c r="Q23" s="55">
        <f t="shared" si="3"/>
        <v>0</v>
      </c>
      <c r="R23" s="54">
        <f t="shared" si="4"/>
        <v>0</v>
      </c>
      <c r="S23" s="54">
        <f t="shared" si="5"/>
        <v>0</v>
      </c>
      <c r="T23" s="54">
        <f t="shared" si="6"/>
        <v>0</v>
      </c>
      <c r="U23" s="55">
        <f t="shared" si="7"/>
        <v>0</v>
      </c>
      <c r="V23" s="54"/>
      <c r="W23" s="54"/>
      <c r="X23" s="54"/>
      <c r="Y23" s="55">
        <f t="shared" si="8"/>
        <v>0</v>
      </c>
    </row>
    <row r="24" spans="1:25" ht="15.75" customHeight="1" x14ac:dyDescent="0.2">
      <c r="A24" s="53" t="s">
        <v>758</v>
      </c>
      <c r="B24" s="54"/>
      <c r="C24" s="54"/>
      <c r="D24" s="54"/>
      <c r="E24" s="55">
        <f t="shared" si="0"/>
        <v>0</v>
      </c>
      <c r="F24" s="54"/>
      <c r="G24" s="54"/>
      <c r="H24" s="54"/>
      <c r="I24" s="55">
        <f t="shared" si="1"/>
        <v>0</v>
      </c>
      <c r="J24" s="54"/>
      <c r="K24" s="54"/>
      <c r="L24" s="54"/>
      <c r="M24" s="55">
        <f t="shared" si="2"/>
        <v>0</v>
      </c>
      <c r="N24" s="54"/>
      <c r="O24" s="54"/>
      <c r="P24" s="54"/>
      <c r="Q24" s="55">
        <f t="shared" si="3"/>
        <v>0</v>
      </c>
      <c r="R24" s="54">
        <f t="shared" si="4"/>
        <v>0</v>
      </c>
      <c r="S24" s="54">
        <f t="shared" si="5"/>
        <v>0</v>
      </c>
      <c r="T24" s="54">
        <f t="shared" si="6"/>
        <v>0</v>
      </c>
      <c r="U24" s="55">
        <f t="shared" si="7"/>
        <v>0</v>
      </c>
      <c r="V24" s="54"/>
      <c r="W24" s="54"/>
      <c r="X24" s="54"/>
      <c r="Y24" s="55">
        <f t="shared" si="8"/>
        <v>0</v>
      </c>
    </row>
    <row r="25" spans="1:25" ht="15.75" customHeight="1" x14ac:dyDescent="0.2">
      <c r="A25" s="53" t="s">
        <v>759</v>
      </c>
      <c r="B25" s="54"/>
      <c r="C25" s="54"/>
      <c r="D25" s="54"/>
      <c r="E25" s="55">
        <f t="shared" si="0"/>
        <v>0</v>
      </c>
      <c r="F25" s="54"/>
      <c r="G25" s="54"/>
      <c r="H25" s="54"/>
      <c r="I25" s="55">
        <f t="shared" si="1"/>
        <v>0</v>
      </c>
      <c r="J25" s="54"/>
      <c r="K25" s="54"/>
      <c r="L25" s="54"/>
      <c r="M25" s="55">
        <f t="shared" si="2"/>
        <v>0</v>
      </c>
      <c r="N25" s="54"/>
      <c r="O25" s="54"/>
      <c r="P25" s="54"/>
      <c r="Q25" s="55">
        <f t="shared" si="3"/>
        <v>0</v>
      </c>
      <c r="R25" s="54">
        <f t="shared" si="4"/>
        <v>0</v>
      </c>
      <c r="S25" s="54">
        <f t="shared" si="5"/>
        <v>0</v>
      </c>
      <c r="T25" s="54">
        <f t="shared" si="6"/>
        <v>0</v>
      </c>
      <c r="U25" s="55">
        <f t="shared" si="7"/>
        <v>0</v>
      </c>
      <c r="V25" s="54"/>
      <c r="W25" s="54"/>
      <c r="X25" s="54"/>
      <c r="Y25" s="55">
        <f t="shared" si="8"/>
        <v>0</v>
      </c>
    </row>
    <row r="26" spans="1:25" ht="15.75" customHeight="1" x14ac:dyDescent="0.2">
      <c r="A26" s="53" t="s">
        <v>11</v>
      </c>
      <c r="B26" s="54"/>
      <c r="C26" s="54"/>
      <c r="D26" s="54"/>
      <c r="E26" s="55">
        <f t="shared" si="0"/>
        <v>0</v>
      </c>
      <c r="F26" s="54"/>
      <c r="G26" s="54"/>
      <c r="H26" s="54"/>
      <c r="I26" s="55">
        <f t="shared" si="1"/>
        <v>0</v>
      </c>
      <c r="J26" s="54"/>
      <c r="K26" s="54"/>
      <c r="L26" s="54"/>
      <c r="M26" s="55">
        <f t="shared" si="2"/>
        <v>0</v>
      </c>
      <c r="N26" s="54"/>
      <c r="O26" s="54"/>
      <c r="P26" s="54"/>
      <c r="Q26" s="55">
        <f t="shared" si="3"/>
        <v>0</v>
      </c>
      <c r="R26" s="54">
        <f t="shared" si="4"/>
        <v>0</v>
      </c>
      <c r="S26" s="54">
        <f t="shared" si="5"/>
        <v>0</v>
      </c>
      <c r="T26" s="54">
        <f t="shared" si="6"/>
        <v>0</v>
      </c>
      <c r="U26" s="55">
        <f t="shared" si="7"/>
        <v>0</v>
      </c>
      <c r="V26" s="54"/>
      <c r="W26" s="54"/>
      <c r="X26" s="54"/>
      <c r="Y26" s="55">
        <f t="shared" si="8"/>
        <v>0</v>
      </c>
    </row>
    <row r="27" spans="1:25" ht="15.75" customHeight="1" x14ac:dyDescent="0.2">
      <c r="A27" s="53" t="s">
        <v>12</v>
      </c>
      <c r="B27" s="54"/>
      <c r="C27" s="54"/>
      <c r="D27" s="54"/>
      <c r="E27" s="55">
        <f t="shared" si="0"/>
        <v>0</v>
      </c>
      <c r="F27" s="54"/>
      <c r="G27" s="54"/>
      <c r="H27" s="54"/>
      <c r="I27" s="55">
        <f t="shared" si="1"/>
        <v>0</v>
      </c>
      <c r="J27" s="54"/>
      <c r="K27" s="54"/>
      <c r="L27" s="54"/>
      <c r="M27" s="55">
        <f t="shared" si="2"/>
        <v>0</v>
      </c>
      <c r="N27" s="54"/>
      <c r="O27" s="54"/>
      <c r="P27" s="54"/>
      <c r="Q27" s="55">
        <f t="shared" si="3"/>
        <v>0</v>
      </c>
      <c r="R27" s="54">
        <f t="shared" si="4"/>
        <v>0</v>
      </c>
      <c r="S27" s="54">
        <f t="shared" si="5"/>
        <v>0</v>
      </c>
      <c r="T27" s="54">
        <f t="shared" si="6"/>
        <v>0</v>
      </c>
      <c r="U27" s="55">
        <f t="shared" si="7"/>
        <v>0</v>
      </c>
      <c r="V27" s="54"/>
      <c r="W27" s="54"/>
      <c r="X27" s="54"/>
      <c r="Y27" s="55">
        <f t="shared" si="8"/>
        <v>0</v>
      </c>
    </row>
    <row r="28" spans="1:25" ht="15.75" customHeight="1" x14ac:dyDescent="0.2">
      <c r="A28" s="53" t="s">
        <v>13</v>
      </c>
      <c r="B28" s="54"/>
      <c r="C28" s="54"/>
      <c r="D28" s="54"/>
      <c r="E28" s="55">
        <f t="shared" si="0"/>
        <v>0</v>
      </c>
      <c r="F28" s="54"/>
      <c r="G28" s="54"/>
      <c r="H28" s="54"/>
      <c r="I28" s="55">
        <f t="shared" si="1"/>
        <v>0</v>
      </c>
      <c r="J28" s="54"/>
      <c r="K28" s="54"/>
      <c r="L28" s="54"/>
      <c r="M28" s="55">
        <f t="shared" si="2"/>
        <v>0</v>
      </c>
      <c r="N28" s="54"/>
      <c r="O28" s="54"/>
      <c r="P28" s="54"/>
      <c r="Q28" s="55">
        <f t="shared" si="3"/>
        <v>0</v>
      </c>
      <c r="R28" s="54">
        <f t="shared" si="4"/>
        <v>0</v>
      </c>
      <c r="S28" s="54">
        <f t="shared" si="5"/>
        <v>0</v>
      </c>
      <c r="T28" s="54">
        <f t="shared" si="6"/>
        <v>0</v>
      </c>
      <c r="U28" s="55">
        <f t="shared" si="7"/>
        <v>0</v>
      </c>
      <c r="V28" s="54"/>
      <c r="W28" s="54"/>
      <c r="X28" s="54"/>
      <c r="Y28" s="55">
        <f t="shared" si="8"/>
        <v>0</v>
      </c>
    </row>
    <row r="29" spans="1:25" ht="15.75" customHeight="1" x14ac:dyDescent="0.2">
      <c r="A29" s="53" t="s">
        <v>14</v>
      </c>
      <c r="B29" s="54"/>
      <c r="C29" s="54"/>
      <c r="D29" s="54"/>
      <c r="E29" s="55">
        <f t="shared" si="0"/>
        <v>0</v>
      </c>
      <c r="F29" s="54"/>
      <c r="G29" s="54"/>
      <c r="H29" s="54"/>
      <c r="I29" s="55">
        <f t="shared" si="1"/>
        <v>0</v>
      </c>
      <c r="J29" s="54"/>
      <c r="K29" s="54"/>
      <c r="L29" s="54"/>
      <c r="M29" s="55">
        <f t="shared" si="2"/>
        <v>0</v>
      </c>
      <c r="N29" s="54"/>
      <c r="O29" s="54"/>
      <c r="P29" s="54"/>
      <c r="Q29" s="55">
        <f t="shared" si="3"/>
        <v>0</v>
      </c>
      <c r="R29" s="54">
        <f t="shared" si="4"/>
        <v>0</v>
      </c>
      <c r="S29" s="54">
        <f t="shared" si="5"/>
        <v>0</v>
      </c>
      <c r="T29" s="54">
        <f t="shared" si="6"/>
        <v>0</v>
      </c>
      <c r="U29" s="55">
        <f t="shared" si="7"/>
        <v>0</v>
      </c>
      <c r="V29" s="54"/>
      <c r="W29" s="54"/>
      <c r="X29" s="54"/>
      <c r="Y29" s="55">
        <f t="shared" si="8"/>
        <v>0</v>
      </c>
    </row>
    <row r="30" spans="1:25" ht="15.75" customHeight="1" x14ac:dyDescent="0.2">
      <c r="A30" s="53" t="s">
        <v>15</v>
      </c>
      <c r="B30" s="54"/>
      <c r="C30" s="54"/>
      <c r="D30" s="54"/>
      <c r="E30" s="55">
        <f t="shared" si="0"/>
        <v>0</v>
      </c>
      <c r="F30" s="54"/>
      <c r="G30" s="54"/>
      <c r="H30" s="54"/>
      <c r="I30" s="55">
        <f t="shared" si="1"/>
        <v>0</v>
      </c>
      <c r="J30" s="54"/>
      <c r="K30" s="54"/>
      <c r="L30" s="54"/>
      <c r="M30" s="55">
        <f t="shared" si="2"/>
        <v>0</v>
      </c>
      <c r="N30" s="54"/>
      <c r="O30" s="54"/>
      <c r="P30" s="54"/>
      <c r="Q30" s="55">
        <f t="shared" si="3"/>
        <v>0</v>
      </c>
      <c r="R30" s="54">
        <f t="shared" si="4"/>
        <v>0</v>
      </c>
      <c r="S30" s="54">
        <f t="shared" si="5"/>
        <v>0</v>
      </c>
      <c r="T30" s="54">
        <f t="shared" si="6"/>
        <v>0</v>
      </c>
      <c r="U30" s="55">
        <f t="shared" si="7"/>
        <v>0</v>
      </c>
      <c r="V30" s="54"/>
      <c r="W30" s="54"/>
      <c r="X30" s="54"/>
      <c r="Y30" s="55">
        <f t="shared" si="8"/>
        <v>0</v>
      </c>
    </row>
    <row r="31" spans="1:25" ht="15.75" customHeight="1" x14ac:dyDescent="0.2">
      <c r="A31" s="53" t="s">
        <v>16</v>
      </c>
      <c r="B31" s="54"/>
      <c r="C31" s="54"/>
      <c r="D31" s="54"/>
      <c r="E31" s="55">
        <f t="shared" si="0"/>
        <v>0</v>
      </c>
      <c r="F31" s="54"/>
      <c r="G31" s="54"/>
      <c r="H31" s="54"/>
      <c r="I31" s="55">
        <f t="shared" si="1"/>
        <v>0</v>
      </c>
      <c r="J31" s="54"/>
      <c r="K31" s="54"/>
      <c r="L31" s="54"/>
      <c r="M31" s="55">
        <f t="shared" si="2"/>
        <v>0</v>
      </c>
      <c r="N31" s="54"/>
      <c r="O31" s="54"/>
      <c r="P31" s="54"/>
      <c r="Q31" s="55">
        <f t="shared" si="3"/>
        <v>0</v>
      </c>
      <c r="R31" s="54">
        <f t="shared" si="4"/>
        <v>0</v>
      </c>
      <c r="S31" s="54">
        <f t="shared" si="5"/>
        <v>0</v>
      </c>
      <c r="T31" s="54">
        <f t="shared" si="6"/>
        <v>0</v>
      </c>
      <c r="U31" s="55">
        <f t="shared" si="7"/>
        <v>0</v>
      </c>
      <c r="V31" s="54"/>
      <c r="W31" s="54"/>
      <c r="X31" s="54"/>
      <c r="Y31" s="55">
        <f t="shared" si="8"/>
        <v>0</v>
      </c>
    </row>
    <row r="32" spans="1:25" ht="22.9" customHeight="1" x14ac:dyDescent="0.2">
      <c r="A32" s="53" t="s">
        <v>17</v>
      </c>
      <c r="B32" s="54"/>
      <c r="C32" s="54"/>
      <c r="D32" s="54"/>
      <c r="E32" s="55">
        <f t="shared" si="0"/>
        <v>0</v>
      </c>
      <c r="F32" s="54"/>
      <c r="G32" s="54"/>
      <c r="H32" s="54"/>
      <c r="I32" s="55">
        <f t="shared" si="1"/>
        <v>0</v>
      </c>
      <c r="J32" s="54"/>
      <c r="K32" s="54"/>
      <c r="L32" s="54"/>
      <c r="M32" s="55">
        <f t="shared" si="2"/>
        <v>0</v>
      </c>
      <c r="N32" s="54"/>
      <c r="O32" s="54"/>
      <c r="P32" s="54"/>
      <c r="Q32" s="55">
        <f t="shared" si="3"/>
        <v>0</v>
      </c>
      <c r="R32" s="54">
        <f t="shared" si="4"/>
        <v>0</v>
      </c>
      <c r="S32" s="54">
        <f t="shared" si="5"/>
        <v>0</v>
      </c>
      <c r="T32" s="54">
        <f t="shared" si="6"/>
        <v>0</v>
      </c>
      <c r="U32" s="55">
        <f t="shared" si="7"/>
        <v>0</v>
      </c>
      <c r="V32" s="54"/>
      <c r="W32" s="54"/>
      <c r="X32" s="54"/>
      <c r="Y32" s="55">
        <f t="shared" si="8"/>
        <v>0</v>
      </c>
    </row>
    <row r="33" spans="1:25" ht="15.75" customHeight="1" x14ac:dyDescent="0.2">
      <c r="A33" s="53" t="s">
        <v>18</v>
      </c>
      <c r="B33" s="54"/>
      <c r="C33" s="54"/>
      <c r="D33" s="54"/>
      <c r="E33" s="55">
        <f t="shared" si="0"/>
        <v>0</v>
      </c>
      <c r="F33" s="54"/>
      <c r="G33" s="54"/>
      <c r="H33" s="54"/>
      <c r="I33" s="55">
        <f t="shared" si="1"/>
        <v>0</v>
      </c>
      <c r="J33" s="54"/>
      <c r="K33" s="54"/>
      <c r="L33" s="54"/>
      <c r="M33" s="55">
        <f t="shared" si="2"/>
        <v>0</v>
      </c>
      <c r="N33" s="54"/>
      <c r="O33" s="54"/>
      <c r="P33" s="54"/>
      <c r="Q33" s="55">
        <f t="shared" si="3"/>
        <v>0</v>
      </c>
      <c r="R33" s="54">
        <f t="shared" si="4"/>
        <v>0</v>
      </c>
      <c r="S33" s="54">
        <f t="shared" si="5"/>
        <v>0</v>
      </c>
      <c r="T33" s="54">
        <f t="shared" si="6"/>
        <v>0</v>
      </c>
      <c r="U33" s="55">
        <f t="shared" si="7"/>
        <v>0</v>
      </c>
      <c r="V33" s="54"/>
      <c r="W33" s="54"/>
      <c r="X33" s="54"/>
      <c r="Y33" s="55">
        <f t="shared" si="8"/>
        <v>0</v>
      </c>
    </row>
    <row r="34" spans="1:25" ht="31.9" customHeight="1" x14ac:dyDescent="0.2">
      <c r="A34" s="56" t="s">
        <v>760</v>
      </c>
      <c r="B34" s="55">
        <f>SUM(B16,B17,B18,B20,B21,B22,B23,B26,B29,B33)</f>
        <v>0</v>
      </c>
      <c r="C34" s="55">
        <f t="shared" ref="C34:Y34" si="9">SUM(C16,C17,C18,C20,C21,C22,C23,C26,C29,C33)</f>
        <v>0</v>
      </c>
      <c r="D34" s="55">
        <f t="shared" si="9"/>
        <v>0</v>
      </c>
      <c r="E34" s="55">
        <f t="shared" si="9"/>
        <v>0</v>
      </c>
      <c r="F34" s="55">
        <f t="shared" si="9"/>
        <v>0</v>
      </c>
      <c r="G34" s="55">
        <f t="shared" si="9"/>
        <v>0</v>
      </c>
      <c r="H34" s="55">
        <f t="shared" si="9"/>
        <v>0</v>
      </c>
      <c r="I34" s="55">
        <f t="shared" si="9"/>
        <v>0</v>
      </c>
      <c r="J34" s="55">
        <f t="shared" si="9"/>
        <v>0</v>
      </c>
      <c r="K34" s="55">
        <f t="shared" si="9"/>
        <v>0</v>
      </c>
      <c r="L34" s="55">
        <f t="shared" si="9"/>
        <v>0</v>
      </c>
      <c r="M34" s="55">
        <f t="shared" si="9"/>
        <v>0</v>
      </c>
      <c r="N34" s="55">
        <f t="shared" si="9"/>
        <v>0</v>
      </c>
      <c r="O34" s="55">
        <f t="shared" si="9"/>
        <v>0</v>
      </c>
      <c r="P34" s="55">
        <f t="shared" si="9"/>
        <v>0</v>
      </c>
      <c r="Q34" s="55">
        <f t="shared" si="9"/>
        <v>0</v>
      </c>
      <c r="R34" s="55">
        <f t="shared" si="9"/>
        <v>0</v>
      </c>
      <c r="S34" s="55">
        <f t="shared" si="9"/>
        <v>0</v>
      </c>
      <c r="T34" s="55">
        <f t="shared" si="9"/>
        <v>0</v>
      </c>
      <c r="U34" s="55">
        <f t="shared" si="9"/>
        <v>0</v>
      </c>
      <c r="V34" s="55">
        <f t="shared" si="9"/>
        <v>0</v>
      </c>
      <c r="W34" s="55">
        <f t="shared" si="9"/>
        <v>0</v>
      </c>
      <c r="X34" s="55">
        <f t="shared" si="9"/>
        <v>0</v>
      </c>
      <c r="Y34" s="55">
        <f t="shared" si="9"/>
        <v>0</v>
      </c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/>
    <row r="708" spans="1:25" ht="15.75" customHeight="1" x14ac:dyDescent="0.2"/>
  </sheetData>
  <mergeCells count="40"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ageMargins left="0.25" right="0.25" top="0.75" bottom="0.75" header="0.3" footer="0.3"/>
  <pageSetup paperSize="5" scale="8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2025-11-05T08:32:14Z</cp:lastPrinted>
  <dcterms:created xsi:type="dcterms:W3CDTF">2025-07-02T05:09:46Z</dcterms:created>
  <dcterms:modified xsi:type="dcterms:W3CDTF">2025-11-21T15:25:26Z</dcterms:modified>
</cp:coreProperties>
</file>